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Amaan laptop data\Data Science\Excel\"/>
    </mc:Choice>
  </mc:AlternateContent>
  <xr:revisionPtr revIDLastSave="0" documentId="13_ncr:1_{9FC64C24-A1F6-4BBF-A798-CA85BB7C702C}" xr6:coauthVersionLast="47" xr6:coauthVersionMax="47" xr10:uidLastSave="{00000000-0000-0000-0000-000000000000}"/>
  <bookViews>
    <workbookView xWindow="-120" yWindow="-120" windowWidth="20730" windowHeight="11160" xr2:uid="{F2FD5835-93FB-423B-8347-62D6DACEA082}"/>
  </bookViews>
  <sheets>
    <sheet name="Data" sheetId="1" r:id="rId1"/>
    <sheet name="Charts" sheetId="3" r:id="rId2"/>
    <sheet name="Pivot Tablw" sheetId="4" r:id="rId3"/>
    <sheet name="Insights" sheetId="2" r:id="rId4"/>
  </sheets>
  <calcPr calcId="191029" iterateDelta="1E-4"/>
  <pivotCaches>
    <pivotCache cacheId="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 l="1"/>
  <c r="E5" i="3"/>
  <c r="K5" i="3"/>
  <c r="Q23" i="1"/>
  <c r="Q36" i="1"/>
  <c r="Q5" i="1"/>
  <c r="Q8" i="1"/>
  <c r="Q42" i="1"/>
  <c r="Q49" i="1"/>
  <c r="Q31" i="1"/>
  <c r="Q24" i="1"/>
  <c r="Q37" i="1"/>
  <c r="Q33" i="1"/>
  <c r="Q27" i="1"/>
  <c r="Q16" i="1"/>
  <c r="Q26" i="1"/>
  <c r="Q18" i="1"/>
  <c r="Q34" i="1"/>
  <c r="Q13" i="1"/>
  <c r="Q35" i="1"/>
  <c r="Q11" i="1"/>
  <c r="Q51" i="1"/>
  <c r="Q7" i="1"/>
  <c r="Q25" i="1"/>
  <c r="Q46" i="1"/>
  <c r="Q50" i="1"/>
  <c r="Q14" i="1"/>
  <c r="Q19" i="1"/>
  <c r="Q17" i="1"/>
  <c r="Q40" i="1"/>
  <c r="Q39" i="1"/>
  <c r="Q45" i="1"/>
  <c r="Q48" i="1"/>
  <c r="Q15" i="1"/>
  <c r="Q4" i="1"/>
  <c r="Q30" i="1"/>
  <c r="Q41" i="1"/>
  <c r="Q47" i="1"/>
  <c r="Q21" i="1"/>
  <c r="Q44" i="1"/>
  <c r="Q28" i="1"/>
  <c r="Q32" i="1"/>
  <c r="Q20" i="1"/>
  <c r="Q10" i="1"/>
  <c r="Q12" i="1"/>
  <c r="Q9" i="1"/>
  <c r="Q6" i="1"/>
  <c r="Q43" i="1"/>
  <c r="Q38" i="1"/>
  <c r="Q3" i="1"/>
  <c r="Q2" i="1"/>
  <c r="Q29" i="1"/>
  <c r="Q22" i="1"/>
  <c r="O13" i="1"/>
  <c r="O34" i="1"/>
  <c r="O18" i="1"/>
  <c r="O26" i="1"/>
  <c r="O16" i="1"/>
  <c r="O27" i="1"/>
  <c r="P30" i="1"/>
  <c r="P48" i="1"/>
  <c r="P36" i="1"/>
  <c r="P6" i="1"/>
  <c r="P7" i="1"/>
  <c r="P18" i="1"/>
  <c r="P4" i="1"/>
  <c r="P40" i="1"/>
  <c r="P32" i="1"/>
  <c r="P51" i="1"/>
  <c r="P22" i="1"/>
  <c r="P8" i="1"/>
  <c r="P44" i="1"/>
  <c r="P38" i="1"/>
  <c r="P35" i="1"/>
  <c r="P24" i="1"/>
  <c r="P43" i="1"/>
  <c r="P46" i="1"/>
  <c r="P49" i="1"/>
  <c r="P41" i="1"/>
  <c r="P42" i="1"/>
  <c r="P33" i="1"/>
  <c r="P19" i="1"/>
  <c r="P47" i="1"/>
  <c r="P34" i="1"/>
  <c r="P23" i="1"/>
  <c r="P12" i="1"/>
  <c r="P2" i="1"/>
  <c r="P45" i="1"/>
  <c r="P27" i="1"/>
  <c r="P28" i="1"/>
  <c r="P50" i="1"/>
  <c r="P11" i="1"/>
  <c r="P9" i="1"/>
  <c r="P29" i="1"/>
  <c r="P31" i="1"/>
  <c r="P16" i="1"/>
  <c r="P25" i="1"/>
  <c r="P3" i="1"/>
  <c r="P20" i="1"/>
  <c r="P5" i="1"/>
  <c r="P17" i="1"/>
  <c r="P13" i="1"/>
  <c r="P26" i="1"/>
  <c r="P37" i="1"/>
  <c r="P14" i="1"/>
  <c r="P15" i="1"/>
  <c r="P39" i="1"/>
  <c r="P21" i="1"/>
  <c r="P10" i="1"/>
  <c r="O49" i="1"/>
  <c r="O46" i="1"/>
  <c r="O43" i="1"/>
  <c r="O24" i="1"/>
  <c r="O8" i="1"/>
  <c r="O22" i="1"/>
  <c r="O51" i="1"/>
  <c r="O32" i="1"/>
  <c r="O6" i="1"/>
  <c r="O36" i="1"/>
  <c r="O48" i="1"/>
  <c r="O30" i="1"/>
  <c r="M30" i="1"/>
  <c r="M48" i="1"/>
  <c r="M36" i="1"/>
  <c r="M6" i="1"/>
  <c r="M7" i="1"/>
  <c r="M18" i="1"/>
  <c r="M4" i="1"/>
  <c r="M40" i="1"/>
  <c r="M32" i="1"/>
  <c r="M51" i="1"/>
  <c r="M22" i="1"/>
  <c r="M8" i="1"/>
  <c r="M44" i="1"/>
  <c r="M38" i="1"/>
  <c r="M35" i="1"/>
  <c r="M24" i="1"/>
  <c r="M43" i="1"/>
  <c r="M46" i="1"/>
  <c r="M49" i="1"/>
  <c r="M41" i="1"/>
  <c r="M42" i="1"/>
  <c r="M33" i="1"/>
  <c r="M19" i="1"/>
  <c r="M47" i="1"/>
  <c r="M34" i="1"/>
  <c r="M23" i="1"/>
  <c r="M12" i="1"/>
  <c r="M2" i="1"/>
  <c r="M45" i="1"/>
  <c r="M27" i="1"/>
  <c r="M28" i="1"/>
  <c r="M50" i="1"/>
  <c r="M11" i="1"/>
  <c r="M9" i="1"/>
  <c r="M29" i="1"/>
  <c r="M31" i="1"/>
  <c r="M16" i="1"/>
  <c r="M25" i="1"/>
  <c r="M3" i="1"/>
  <c r="M20" i="1"/>
  <c r="M5" i="1"/>
  <c r="M17" i="1"/>
  <c r="M13" i="1"/>
  <c r="M26" i="1"/>
  <c r="M37" i="1"/>
  <c r="M14" i="1"/>
  <c r="M15" i="1"/>
  <c r="M39" i="1"/>
  <c r="M21" i="1"/>
  <c r="M10" i="1"/>
</calcChain>
</file>

<file path=xl/sharedStrings.xml><?xml version="1.0" encoding="utf-8"?>
<sst xmlns="http://schemas.openxmlformats.org/spreadsheetml/2006/main" count="533" uniqueCount="277">
  <si>
    <t>Customer_ID</t>
  </si>
  <si>
    <t>Customer_Name</t>
  </si>
  <si>
    <t>City</t>
  </si>
  <si>
    <t>State</t>
  </si>
  <si>
    <t>Age</t>
  </si>
  <si>
    <t>Membership</t>
  </si>
  <si>
    <t>Join_Date</t>
  </si>
  <si>
    <t>Total_Orders</t>
  </si>
  <si>
    <t>Total_Spent</t>
  </si>
  <si>
    <t>Last_Purchase_Date</t>
  </si>
  <si>
    <t>Product_Category</t>
  </si>
  <si>
    <t>Preferred_Channel</t>
  </si>
  <si>
    <t>CUST-102</t>
  </si>
  <si>
    <t>Rajesh Kumar</t>
  </si>
  <si>
    <t>Pune</t>
  </si>
  <si>
    <t>Maharashtra</t>
  </si>
  <si>
    <t>Silver</t>
  </si>
  <si>
    <t>2023-03-08</t>
  </si>
  <si>
    <t>2024-05-24</t>
  </si>
  <si>
    <t>Laptop</t>
  </si>
  <si>
    <t>Both</t>
  </si>
  <si>
    <t>CUST-103</t>
  </si>
  <si>
    <t>Priya Sharma</t>
  </si>
  <si>
    <t>Noida</t>
  </si>
  <si>
    <t>UP</t>
  </si>
  <si>
    <t>Bronze</t>
  </si>
  <si>
    <t>2024-01-16</t>
  </si>
  <si>
    <t>2024-12-20</t>
  </si>
  <si>
    <t>Home &amp; Kitchen</t>
  </si>
  <si>
    <t>Online</t>
  </si>
  <si>
    <t>CUST-104</t>
  </si>
  <si>
    <t>Amit Singh</t>
  </si>
  <si>
    <t>Ahmedabad</t>
  </si>
  <si>
    <t>Gujarat</t>
  </si>
  <si>
    <t>2024-06-13</t>
  </si>
  <si>
    <t>2024-03-15</t>
  </si>
  <si>
    <t>Appliances</t>
  </si>
  <si>
    <t>CUST-105</t>
  </si>
  <si>
    <t>Sunita Verma</t>
  </si>
  <si>
    <t>Hyderabad</t>
  </si>
  <si>
    <t>Telangana</t>
  </si>
  <si>
    <t>Platinum</t>
  </si>
  <si>
    <t>2024-03-25</t>
  </si>
  <si>
    <t>Electronics</t>
  </si>
  <si>
    <t>Offline</t>
  </si>
  <si>
    <t>CUST-106</t>
  </si>
  <si>
    <t>Mohit Gupta</t>
  </si>
  <si>
    <t>Lucknow</t>
  </si>
  <si>
    <t>2023-06-18</t>
  </si>
  <si>
    <t>2024-09-07</t>
  </si>
  <si>
    <t>CUST-107</t>
  </si>
  <si>
    <t>Kavita Jain</t>
  </si>
  <si>
    <t>Delhi</t>
  </si>
  <si>
    <t>2024-03-06</t>
  </si>
  <si>
    <t>2024-10-06</t>
  </si>
  <si>
    <t>CUST-108</t>
  </si>
  <si>
    <t>Rahul Yadav</t>
  </si>
  <si>
    <t>Bangalore</t>
  </si>
  <si>
    <t>Karnataka</t>
  </si>
  <si>
    <t>2023-03-16</t>
  </si>
  <si>
    <t>2024-07-21</t>
  </si>
  <si>
    <t>CUST-109</t>
  </si>
  <si>
    <t>Pooja Mishra</t>
  </si>
  <si>
    <t>Kolkata</t>
  </si>
  <si>
    <t>West Bengal</t>
  </si>
  <si>
    <t>2023-06-05</t>
  </si>
  <si>
    <t>2024-04-26</t>
  </si>
  <si>
    <t>CUST-110</t>
  </si>
  <si>
    <t>Sanjay Patel</t>
  </si>
  <si>
    <t>Chennai</t>
  </si>
  <si>
    <t>Tamil Nadu</t>
  </si>
  <si>
    <t>2024-06-25</t>
  </si>
  <si>
    <t>2024-12-16</t>
  </si>
  <si>
    <t>CUST-111</t>
  </si>
  <si>
    <t>Meena Tiwari</t>
  </si>
  <si>
    <t>Gurgaon</t>
  </si>
  <si>
    <t>Haryana</t>
  </si>
  <si>
    <t>2024-01-14</t>
  </si>
  <si>
    <t>2024-02-05</t>
  </si>
  <si>
    <t>Mobile</t>
  </si>
  <si>
    <t>CUST-112</t>
  </si>
  <si>
    <t>Vikram Nair</t>
  </si>
  <si>
    <t>2024-01-11</t>
  </si>
  <si>
    <t>2024-05-04</t>
  </si>
  <si>
    <t>CUST-113</t>
  </si>
  <si>
    <t>Anita Bose</t>
  </si>
  <si>
    <t>2023-01-19</t>
  </si>
  <si>
    <t>2024-04-13</t>
  </si>
  <si>
    <t>CUST-114</t>
  </si>
  <si>
    <t>Rohit Das</t>
  </si>
  <si>
    <t>Surat</t>
  </si>
  <si>
    <t>2023-09-27</t>
  </si>
  <si>
    <t>2024-02-06</t>
  </si>
  <si>
    <t>CUST-115</t>
  </si>
  <si>
    <t>Swati Agarwal</t>
  </si>
  <si>
    <t>2023-03-10</t>
  </si>
  <si>
    <t>2024-11-24</t>
  </si>
  <si>
    <t>CUST-116</t>
  </si>
  <si>
    <t>Manish Trivedi</t>
  </si>
  <si>
    <t>2023-03-25</t>
  </si>
  <si>
    <t>2024-07-10</t>
  </si>
  <si>
    <t>CUST-117</t>
  </si>
  <si>
    <t>Deepa Reddy</t>
  </si>
  <si>
    <t>Chandigarh</t>
  </si>
  <si>
    <t>Punjab</t>
  </si>
  <si>
    <t>2023-01-17</t>
  </si>
  <si>
    <t>2024-06-26</t>
  </si>
  <si>
    <t>CUST-118</t>
  </si>
  <si>
    <t>Suresh Iyer</t>
  </si>
  <si>
    <t>2023-09-10</t>
  </si>
  <si>
    <t>2024-03-10</t>
  </si>
  <si>
    <t>CUST-119</t>
  </si>
  <si>
    <t>Nandini Roy</t>
  </si>
  <si>
    <t>2023-03-13</t>
  </si>
  <si>
    <t>2024-06-01</t>
  </si>
  <si>
    <t>CUST-120</t>
  </si>
  <si>
    <t>Arun Mehta</t>
  </si>
  <si>
    <t>2024-03-22</t>
  </si>
  <si>
    <t>2024-11-14</t>
  </si>
  <si>
    <t>CUST-121</t>
  </si>
  <si>
    <t>Rekha Pillai</t>
  </si>
  <si>
    <t>2023-01-04</t>
  </si>
  <si>
    <t>2024-04-01</t>
  </si>
  <si>
    <t>CUST-122</t>
  </si>
  <si>
    <t>Arjun Sharma</t>
  </si>
  <si>
    <t>2024-01-26</t>
  </si>
  <si>
    <t>CUST-123</t>
  </si>
  <si>
    <t>Divya Gupta</t>
  </si>
  <si>
    <t>2023-03-24</t>
  </si>
  <si>
    <t>2024-05-03</t>
  </si>
  <si>
    <t>CUST-124</t>
  </si>
  <si>
    <t>Nitin Verma</t>
  </si>
  <si>
    <t>2024-01-21</t>
  </si>
  <si>
    <t>2024-10-10</t>
  </si>
  <si>
    <t>CUST-125</t>
  </si>
  <si>
    <t>Riya Singh</t>
  </si>
  <si>
    <t>2024-06-06</t>
  </si>
  <si>
    <t>2024-06-05</t>
  </si>
  <si>
    <t>CUST-126</t>
  </si>
  <si>
    <t>Kiran Patel</t>
  </si>
  <si>
    <t>2023-09-18</t>
  </si>
  <si>
    <t>2024-06-09</t>
  </si>
  <si>
    <t>CUST-127</t>
  </si>
  <si>
    <t>Ajay Yadav</t>
  </si>
  <si>
    <t>Jaipur</t>
  </si>
  <si>
    <t>Rajasthan</t>
  </si>
  <si>
    <t>2023-03-27</t>
  </si>
  <si>
    <t>2024-11-16</t>
  </si>
  <si>
    <t>CUST-128</t>
  </si>
  <si>
    <t>Sneha Jain</t>
  </si>
  <si>
    <t>Gold</t>
  </si>
  <si>
    <t>2024-01-01</t>
  </si>
  <si>
    <t>2024-08-03</t>
  </si>
  <si>
    <t>CUST-129</t>
  </si>
  <si>
    <t>Varun Tiwari</t>
  </si>
  <si>
    <t>2024-03-01</t>
  </si>
  <si>
    <t>2024-07-09</t>
  </si>
  <si>
    <t>CUST-130</t>
  </si>
  <si>
    <t>Preeti Nair</t>
  </si>
  <si>
    <t>Amroha</t>
  </si>
  <si>
    <t>2023-01-02</t>
  </si>
  <si>
    <t>2024-04-18</t>
  </si>
  <si>
    <t>CUST-131</t>
  </si>
  <si>
    <t>Gaurav Das</t>
  </si>
  <si>
    <t>2023-03-26</t>
  </si>
  <si>
    <t>2024-08-06</t>
  </si>
  <si>
    <t>CUST-132</t>
  </si>
  <si>
    <t>Sachin Agarwal</t>
  </si>
  <si>
    <t>2024-06-18</t>
  </si>
  <si>
    <t>2024-06-21</t>
  </si>
  <si>
    <t>CUST-133</t>
  </si>
  <si>
    <t>Neha Trivedi</t>
  </si>
  <si>
    <t>2024-02-02</t>
  </si>
  <si>
    <t>CUST-134</t>
  </si>
  <si>
    <t>Manoj Reddy</t>
  </si>
  <si>
    <t>2024-01-20</t>
  </si>
  <si>
    <t>CUST-135</t>
  </si>
  <si>
    <t>Sonal Iyer</t>
  </si>
  <si>
    <t>CUST-136</t>
  </si>
  <si>
    <t>Vikas Roy</t>
  </si>
  <si>
    <t>CUST-137</t>
  </si>
  <si>
    <t>Bhavna Mehta</t>
  </si>
  <si>
    <t>2023-06-06</t>
  </si>
  <si>
    <t>2024-05-26</t>
  </si>
  <si>
    <t>CUST-138</t>
  </si>
  <si>
    <t>Harsh Pillai</t>
  </si>
  <si>
    <t>2024-06-03</t>
  </si>
  <si>
    <t>2024-03-20</t>
  </si>
  <si>
    <t>CUST-139</t>
  </si>
  <si>
    <t>Monika Kumar</t>
  </si>
  <si>
    <t>CUST-140</t>
  </si>
  <si>
    <t>Tarun Sharma</t>
  </si>
  <si>
    <t>2024-03-13</t>
  </si>
  <si>
    <t>2024-12-25</t>
  </si>
  <si>
    <t>CUST-141</t>
  </si>
  <si>
    <t>Shruti Gupta</t>
  </si>
  <si>
    <t>2024-03-27</t>
  </si>
  <si>
    <t>CUST-142</t>
  </si>
  <si>
    <t>Anand Verma</t>
  </si>
  <si>
    <t>2024-06-07</t>
  </si>
  <si>
    <t>2024-03-21</t>
  </si>
  <si>
    <t>CUST-143</t>
  </si>
  <si>
    <t>Pallavi Singh</t>
  </si>
  <si>
    <t>2023-03-01</t>
  </si>
  <si>
    <t>2024-07-15</t>
  </si>
  <si>
    <t>CUST-144</t>
  </si>
  <si>
    <t>Kunal Patel</t>
  </si>
  <si>
    <t>2024-09-06</t>
  </si>
  <si>
    <t>CUST-145</t>
  </si>
  <si>
    <t>Jyoti Yadav</t>
  </si>
  <si>
    <t>2023-09-20</t>
  </si>
  <si>
    <t>2024-03-16</t>
  </si>
  <si>
    <t>CUST-146</t>
  </si>
  <si>
    <t>Deepak Jain</t>
  </si>
  <si>
    <t>2024-03-17</t>
  </si>
  <si>
    <t>2024-09-03</t>
  </si>
  <si>
    <t>CUST-147</t>
  </si>
  <si>
    <t>Nidhi Tiwari</t>
  </si>
  <si>
    <t>2023-09-17</t>
  </si>
  <si>
    <t>2024-05-11</t>
  </si>
  <si>
    <t>CUST-148</t>
  </si>
  <si>
    <t>Rahul Nair</t>
  </si>
  <si>
    <t>2023-01-14</t>
  </si>
  <si>
    <t>2024-04-02</t>
  </si>
  <si>
    <t>CUST-149</t>
  </si>
  <si>
    <t>Prachi Das</t>
  </si>
  <si>
    <t>2024-04-24</t>
  </si>
  <si>
    <t>CUST-150</t>
  </si>
  <si>
    <t>Rohan Agarwal</t>
  </si>
  <si>
    <t>2024-04-15</t>
  </si>
  <si>
    <t>CUST-151</t>
  </si>
  <si>
    <t>Smita Trivedi</t>
  </si>
  <si>
    <t>2024-06-28</t>
  </si>
  <si>
    <t>2024-06-11</t>
  </si>
  <si>
    <t>Segment</t>
  </si>
  <si>
    <t>Customers in Segments</t>
  </si>
  <si>
    <t>Countif</t>
  </si>
  <si>
    <t>Calculating Revenue by Segment</t>
  </si>
  <si>
    <t>Average per segment</t>
  </si>
  <si>
    <t>Customers above avg</t>
  </si>
  <si>
    <t>Row Labels</t>
  </si>
  <si>
    <t>Grand Total</t>
  </si>
  <si>
    <t>Sum of Total_Spent</t>
  </si>
  <si>
    <t>Top 6 Customer</t>
  </si>
  <si>
    <t>Loyalty Score</t>
  </si>
  <si>
    <t>Count of Customer_Name</t>
  </si>
  <si>
    <t>⚔️ BOSS BATTLE — Write Your Business Insights Here</t>
  </si>
  <si>
    <t>A real analyst does not just make charts. They tell the business WHAT TO DO. Answer all 5 questions below based on your analysis.</t>
  </si>
  <si>
    <t>Question</t>
  </si>
  <si>
    <t>Question Text</t>
  </si>
  <si>
    <t>Hint</t>
  </si>
  <si>
    <t>YOUR ANSWER (Type Here)</t>
  </si>
  <si>
    <t>Q1</t>
  </si>
  <si>
    <t>Which customer segment is most valuable to the business and why?</t>
  </si>
  <si>
    <t>Hint: Look at Total Spent by segment. Which one brings maximum revenue despite possibly being small in number?</t>
  </si>
  <si>
    <t>Platinum segment is the most valuable to the business because platinum irrespective have small customer count brings the most revenue percetage alone to the company i.e 48.64% approx, so handling and giving facilities are more important and taking care of reviews from such customers are also very important to keep them loyal to the busines and can increase the Platinum segement customers soon.</t>
  </si>
  <si>
    <t>Q2</t>
  </si>
  <si>
    <t>Which city should the business focus its marketing budget on?</t>
  </si>
  <si>
    <t>Hint: Look at city-wise revenue. Top 3 cities = where your customers actually are.</t>
  </si>
  <si>
    <t>Noida has the most revenue and total customers are also in top tier i.e 7 wehereas Banglore and Gururgram also brings the high revenue to company but total number customre are only 4 so marketing in these areas in increaseing customers is a god option as there is a trust that has been created among people also we can market in  those areas that have high customer number but revenue are low to have repeat customer and invendually increase revenue from those areas with high customeres and making them in top revenue cititese as well</t>
  </si>
  <si>
    <t>Q3</t>
  </si>
  <si>
    <t>Are Platinum customers more likely to shop Online or Offline?</t>
  </si>
  <si>
    <t>Hint: Look at your cross-tab pivot (Membership vs Channel). What does the data tell you?</t>
  </si>
  <si>
    <t>4 Customers in Platinumn tier are shopping online and 3 are offline, so Platinmum customers prefer online.</t>
  </si>
  <si>
    <t>Q4</t>
  </si>
  <si>
    <t>What is your recommendation for retaining Bronze customers?</t>
  </si>
  <si>
    <t>Hint: Bronze = lowest spenders. What offer, discount, or action would move them to Silver?</t>
  </si>
  <si>
    <t>Bronze customers are more likely trial customers who wants to try the company propducts or service giving them the accepted things and offering them more free trial of silver or Platinum to experirence them and helps letting them know what things they will be getting by subscribing to Silver or more hihgher tier.</t>
  </si>
  <si>
    <t>Q5</t>
  </si>
  <si>
    <t>If the business could only focus on ONE thing to grow revenue — what would you recommend based on the data?</t>
  </si>
  <si>
    <t>Hint: This is YOUR analysis. No right or wrong answer. Show you can think like a business analyst, not just a tool user.</t>
  </si>
  <si>
    <t>by showing the benefit of silver plan that bronze didn't have have platinum have the customer can have benefit of platinum in silver plan just by paying couple bucks more</t>
  </si>
  <si>
    <t>Customer Segmentation Analysis — Level 2</t>
  </si>
  <si>
    <t>Total Customers</t>
  </si>
  <si>
    <t>Total Revenue</t>
  </si>
  <si>
    <t>Top City</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</si>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</sst>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rgb="FFFFFFFF"/>
      <name val="Arial"/>
      <charset val="1"/>
    </font>
    <font>
      <sz val="10"/>
      <name val="Arial"/>
      <charset val="1"/>
    </font>
    <font>
      <b/>
      <sz val="11"/>
      <color theme="0"/>
      <name val="Aptos Narrow"/>
      <family val="2"/>
      <scheme val="minor"/>
    </font>
    <font>
      <b/>
      <sz val="11"/>
      <color rgb="FFFFFFFF"/>
      <name val="Arial"/>
      <family val="2"/>
    </font>
    <font>
      <b/>
      <sz val="13"/>
      <color rgb="FFFFFFFF"/>
      <name val="Arial"/>
      <family val="2"/>
    </font>
    <font>
      <i/>
      <sz val="10"/>
      <color rgb="FF2E75B6"/>
      <name val="Arial"/>
      <family val="2"/>
    </font>
    <font>
      <b/>
      <sz val="10"/>
      <color rgb="FF1F4E79"/>
      <name val="Arial"/>
      <family val="2"/>
    </font>
    <font>
      <sz val="10"/>
      <color rgb="FF000000"/>
      <name val="Arial"/>
      <family val="2"/>
    </font>
    <font>
      <i/>
      <sz val="10"/>
      <name val="Arial"/>
      <family val="2"/>
    </font>
    <font>
      <b/>
      <i/>
      <sz val="11"/>
      <color rgb="FF2E75B6"/>
      <name val="Arial"/>
      <family val="2"/>
    </font>
    <font>
      <b/>
      <sz val="16"/>
      <color theme="1"/>
      <name val="Aptos Narrow"/>
      <family val="2"/>
      <scheme val="minor"/>
    </font>
    <font>
      <b/>
      <sz val="22"/>
      <color theme="0"/>
      <name val="Aptos Narrow"/>
      <family val="2"/>
      <scheme val="minor"/>
    </font>
    <font>
      <b/>
      <sz val="16"/>
      <color theme="0"/>
      <name val="Aptos Narrow"/>
      <family val="2"/>
      <scheme val="minor"/>
    </font>
    <font>
      <sz val="11"/>
      <color theme="1"/>
      <name val="Arial Black"/>
      <family val="2"/>
    </font>
    <font>
      <b/>
      <sz val="18"/>
      <color theme="0"/>
      <name val="Arial Black"/>
      <family val="2"/>
    </font>
  </fonts>
  <fills count="14">
    <fill>
      <patternFill patternType="none"/>
    </fill>
    <fill>
      <patternFill patternType="gray125"/>
    </fill>
    <fill>
      <patternFill patternType="solid">
        <fgColor rgb="FF1F4E79"/>
        <bgColor rgb="FF003366"/>
      </patternFill>
    </fill>
    <fill>
      <patternFill patternType="solid">
        <fgColor rgb="FFD6E4F0"/>
        <bgColor rgb="FFDEEAF1"/>
      </patternFill>
    </fill>
    <fill>
      <patternFill patternType="solid">
        <fgColor rgb="FF2E75B6"/>
        <bgColor rgb="FF0066CC"/>
      </patternFill>
    </fill>
    <fill>
      <patternFill patternType="solid">
        <fgColor rgb="FFDEEAF1"/>
        <bgColor rgb="FFD6E4F0"/>
      </patternFill>
    </fill>
    <fill>
      <patternFill patternType="solid">
        <fgColor rgb="FFFFF2CC"/>
        <bgColor rgb="FFFCE4D6"/>
      </patternFill>
    </fill>
    <fill>
      <patternFill patternType="solid">
        <fgColor rgb="FFFFFFFF"/>
        <bgColor rgb="FFF2F2F2"/>
      </patternFill>
    </fill>
    <fill>
      <patternFill patternType="solid">
        <fgColor theme="3"/>
        <bgColor indexed="64"/>
      </patternFill>
    </fill>
    <fill>
      <patternFill patternType="solid">
        <fgColor theme="0"/>
        <bgColor indexed="64"/>
      </patternFill>
    </fill>
    <fill>
      <patternFill patternType="solid">
        <fgColor theme="3" tint="0.499984740745262"/>
        <bgColor indexed="64"/>
      </patternFill>
    </fill>
    <fill>
      <patternFill patternType="solid">
        <fgColor theme="3" tint="0.24994659260841701"/>
        <bgColor indexed="64"/>
      </patternFill>
    </fill>
    <fill>
      <patternFill patternType="solid">
        <fgColor theme="4" tint="-0.499984740745262"/>
        <bgColor indexed="64"/>
      </patternFill>
    </fill>
    <fill>
      <patternFill patternType="solid">
        <fgColor rgb="FF120036"/>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top style="thin">
        <color rgb="FFBFBFBF"/>
      </top>
      <bottom style="thin">
        <color rgb="FFBFBFBF"/>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s>
  <cellStyleXfs count="1">
    <xf numFmtId="0" fontId="0" fillId="0" borderId="0"/>
  </cellStyleXfs>
  <cellXfs count="60">
    <xf numFmtId="0" fontId="0" fillId="0" borderId="0" xfId="0"/>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0" borderId="2" xfId="0" applyFont="1" applyBorder="1" applyAlignment="1">
      <alignment horizontal="center" vertical="center"/>
    </xf>
    <xf numFmtId="0" fontId="2" fillId="3" borderId="3" xfId="0" applyFont="1" applyFill="1" applyBorder="1" applyAlignment="1">
      <alignment horizontal="center" vertical="center"/>
    </xf>
    <xf numFmtId="0" fontId="2" fillId="0" borderId="3" xfId="0" applyFont="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Border="1" applyAlignment="1">
      <alignment horizontal="center" vertical="center"/>
    </xf>
    <xf numFmtId="0" fontId="5" fillId="2" borderId="3" xfId="0" applyFont="1" applyFill="1" applyBorder="1" applyAlignment="1">
      <alignment horizontal="center" vertical="center"/>
    </xf>
    <xf numFmtId="0" fontId="4" fillId="4"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10" fontId="9" fillId="6" borderId="1" xfId="0" applyNumberFormat="1"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2" borderId="10" xfId="0" applyFont="1" applyFill="1" applyBorder="1" applyAlignment="1">
      <alignment horizontal="center" vertical="center"/>
    </xf>
    <xf numFmtId="0" fontId="5" fillId="2" borderId="2" xfId="0" applyFont="1" applyFill="1" applyBorder="1" applyAlignment="1">
      <alignment horizontal="center" vertical="center"/>
    </xf>
    <xf numFmtId="0" fontId="5" fillId="0" borderId="3" xfId="0" applyFont="1" applyFill="1" applyBorder="1" applyAlignment="1">
      <alignment vertical="center"/>
    </xf>
    <xf numFmtId="0" fontId="6" fillId="0" borderId="3" xfId="0" applyFont="1" applyFill="1" applyBorder="1" applyAlignment="1">
      <alignment vertical="center" wrapText="1"/>
    </xf>
    <xf numFmtId="0" fontId="10" fillId="0" borderId="3"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1" fillId="0" borderId="0" xfId="0" applyFont="1"/>
    <xf numFmtId="0" fontId="12" fillId="8" borderId="0" xfId="0" applyFont="1" applyFill="1" applyAlignment="1">
      <alignment horizontal="center" vertical="center"/>
    </xf>
    <xf numFmtId="0" fontId="12" fillId="8" borderId="0" xfId="0" applyFont="1" applyFill="1" applyAlignment="1">
      <alignment vertical="center"/>
    </xf>
    <xf numFmtId="0" fontId="11" fillId="0" borderId="0" xfId="0" pivotButton="1" applyFont="1"/>
    <xf numFmtId="0" fontId="11" fillId="0" borderId="0" xfId="0" applyFont="1" applyAlignment="1">
      <alignment horizontal="left"/>
    </xf>
    <xf numFmtId="0" fontId="11" fillId="0" borderId="0" xfId="0" applyNumberFormat="1" applyFont="1"/>
    <xf numFmtId="0" fontId="13" fillId="0" borderId="0" xfId="0" pivotButton="1" applyFont="1"/>
    <xf numFmtId="0" fontId="13" fillId="0" borderId="0" xfId="0" applyFont="1"/>
    <xf numFmtId="0" fontId="13" fillId="0" borderId="0" xfId="0" applyFont="1" applyAlignment="1">
      <alignment horizontal="left"/>
    </xf>
    <xf numFmtId="0" fontId="13" fillId="0" borderId="0" xfId="0" applyNumberFormat="1" applyFont="1"/>
    <xf numFmtId="10" fontId="11" fillId="0" borderId="0" xfId="0" applyNumberFormat="1" applyFont="1"/>
    <xf numFmtId="0" fontId="12" fillId="9" borderId="0" xfId="0" applyFont="1" applyFill="1" applyAlignment="1">
      <alignment vertical="center"/>
    </xf>
    <xf numFmtId="0" fontId="3" fillId="10" borderId="13" xfId="0" applyFont="1" applyFill="1" applyBorder="1" applyAlignment="1">
      <alignment horizontal="center"/>
    </xf>
    <xf numFmtId="0" fontId="3" fillId="10" borderId="14" xfId="0" applyFont="1" applyFill="1" applyBorder="1" applyAlignment="1">
      <alignment horizontal="center"/>
    </xf>
    <xf numFmtId="0" fontId="3" fillId="11" borderId="13" xfId="0" applyFont="1" applyFill="1" applyBorder="1" applyAlignment="1">
      <alignment horizontal="center" vertical="center"/>
    </xf>
    <xf numFmtId="0" fontId="3" fillId="11" borderId="14" xfId="0" applyFont="1" applyFill="1" applyBorder="1" applyAlignment="1">
      <alignment horizontal="center" vertical="center"/>
    </xf>
    <xf numFmtId="0" fontId="3" fillId="12" borderId="13" xfId="0" applyFont="1" applyFill="1" applyBorder="1" applyAlignment="1">
      <alignment horizontal="center" vertical="center"/>
    </xf>
    <xf numFmtId="0" fontId="3" fillId="12" borderId="14"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14" xfId="0" applyFont="1" applyFill="1" applyBorder="1" applyAlignment="1">
      <alignment horizontal="center" vertical="center"/>
    </xf>
    <xf numFmtId="0" fontId="14" fillId="0" borderId="0" xfId="0" applyFont="1"/>
    <xf numFmtId="0" fontId="15" fillId="10" borderId="11" xfId="0" applyFont="1" applyFill="1" applyBorder="1" applyAlignment="1">
      <alignment horizontal="center"/>
    </xf>
    <xf numFmtId="0" fontId="15" fillId="10" borderId="12" xfId="0" applyFont="1" applyFill="1" applyBorder="1" applyAlignment="1">
      <alignment horizontal="center"/>
    </xf>
    <xf numFmtId="0" fontId="15" fillId="11" borderId="11" xfId="0" applyFont="1" applyFill="1" applyBorder="1" applyAlignment="1">
      <alignment horizontal="center" vertical="center"/>
    </xf>
    <xf numFmtId="0" fontId="15" fillId="11" borderId="12" xfId="0" applyFont="1" applyFill="1" applyBorder="1" applyAlignment="1">
      <alignment horizontal="center" vertical="center"/>
    </xf>
    <xf numFmtId="0" fontId="15" fillId="12" borderId="11" xfId="0" applyFont="1" applyFill="1" applyBorder="1" applyAlignment="1">
      <alignment horizontal="center" vertical="center"/>
    </xf>
    <xf numFmtId="0" fontId="15" fillId="12" borderId="12" xfId="0" applyFont="1" applyFill="1" applyBorder="1" applyAlignment="1">
      <alignment horizontal="center" vertical="center"/>
    </xf>
    <xf numFmtId="0" fontId="15" fillId="13" borderId="11" xfId="0" applyFont="1" applyFill="1" applyBorder="1" applyAlignment="1">
      <alignment horizontal="center" vertical="center"/>
    </xf>
    <xf numFmtId="0" fontId="15" fillId="13" borderId="12" xfId="0" applyFont="1" applyFill="1" applyBorder="1" applyAlignment="1">
      <alignment horizontal="center" vertical="center"/>
    </xf>
  </cellXfs>
  <cellStyles count="1">
    <cellStyle name="Normal" xfId="0" builtinId="0"/>
  </cellStyles>
  <dxfs count="64">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sz val="16"/>
      </font>
    </dxf>
    <dxf>
      <font>
        <sz val="16"/>
      </font>
    </dxf>
    <dxf>
      <font>
        <sz val="16"/>
      </font>
    </dxf>
    <dxf>
      <font>
        <sz val="16"/>
      </font>
    </dxf>
    <dxf>
      <font>
        <sz val="16"/>
      </font>
    </dxf>
    <dxf>
      <font>
        <sz val="16"/>
      </font>
    </dxf>
    <dxf>
      <font>
        <b val="0"/>
        <i val="0"/>
        <strike val="0"/>
        <condense val="0"/>
        <extend val="0"/>
        <outline val="0"/>
        <shadow val="0"/>
        <u val="none"/>
        <vertAlign val="baseline"/>
        <sz val="10"/>
        <color auto="1"/>
        <name val="Arial"/>
        <charset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auto="1"/>
        <name val="Arial"/>
        <charset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auto="1"/>
        <name val="Arial"/>
        <charset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auto="1"/>
        <name val="Arial"/>
        <charset val="1"/>
        <scheme val="none"/>
      </font>
      <numFmt numFmtId="0" formatCode="Genera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0" formatCode="Genera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003366"/>
          <bgColor rgb="FF1F4E7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mruColors>
      <color rgb="FF1200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lc2.xlsx]Pivot Tablw!PivotTable1</c:name>
    <c:fmtId val="0"/>
  </c:pivotSource>
  <c:chart>
    <c:title>
      <c:tx>
        <c:rich>
          <a:bodyPr rot="0" spcFirstLastPara="1" vertOverflow="ellipsis" vert="horz" wrap="square" anchor="ctr" anchorCtr="1"/>
          <a:lstStyle/>
          <a:p>
            <a:pPr>
              <a:defRPr sz="1800" b="1" i="0" u="none" strike="noStrike" kern="1200" cap="all" spc="50" baseline="0">
                <a:solidFill>
                  <a:sysClr val="windowText" lastClr="000000"/>
                </a:solidFill>
                <a:latin typeface="+mn-lt"/>
                <a:ea typeface="+mn-ea"/>
                <a:cs typeface="+mn-cs"/>
              </a:defRPr>
            </a:pPr>
            <a:r>
              <a:rPr lang="en-US">
                <a:solidFill>
                  <a:sysClr val="windowText" lastClr="000000"/>
                </a:solidFill>
              </a:rPr>
              <a:t>Top 3 City by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Tablw'!$C$2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Tablw'!$B$3:$B$6</c:f>
              <c:strCache>
                <c:ptCount val="3"/>
                <c:pt idx="0">
                  <c:v>Bangalore</c:v>
                </c:pt>
                <c:pt idx="1">
                  <c:v>Gurgaon</c:v>
                </c:pt>
                <c:pt idx="2">
                  <c:v>Noida</c:v>
                </c:pt>
              </c:strCache>
            </c:strRef>
          </c:cat>
          <c:val>
            <c:numRef>
              <c:f>'Pivot Tablw'!$C$3:$C$6</c:f>
              <c:numCache>
                <c:formatCode>General</c:formatCode>
                <c:ptCount val="3"/>
                <c:pt idx="0">
                  <c:v>515602</c:v>
                </c:pt>
                <c:pt idx="1">
                  <c:v>501067</c:v>
                </c:pt>
                <c:pt idx="2">
                  <c:v>680967</c:v>
                </c:pt>
              </c:numCache>
            </c:numRef>
          </c:val>
          <c:extLst>
            <c:ext xmlns:c16="http://schemas.microsoft.com/office/drawing/2014/chart" uri="{C3380CC4-5D6E-409C-BE32-E72D297353CC}">
              <c16:uniqueId val="{00000000-00CA-446C-ABB8-455778DB3848}"/>
            </c:ext>
          </c:extLst>
        </c:ser>
        <c:dLbls>
          <c:dLblPos val="outEnd"/>
          <c:showLegendKey val="0"/>
          <c:showVal val="1"/>
          <c:showCatName val="0"/>
          <c:showSerName val="0"/>
          <c:showPercent val="0"/>
          <c:showBubbleSize val="0"/>
        </c:dLbls>
        <c:gapWidth val="326"/>
        <c:overlap val="-58"/>
        <c:axId val="1947240287"/>
        <c:axId val="1947219167"/>
      </c:barChart>
      <c:catAx>
        <c:axId val="1947240287"/>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947219167"/>
        <c:crosses val="autoZero"/>
        <c:auto val="1"/>
        <c:lblAlgn val="ctr"/>
        <c:lblOffset val="100"/>
        <c:noMultiLvlLbl val="0"/>
      </c:catAx>
      <c:valAx>
        <c:axId val="1947219167"/>
        <c:scaling>
          <c:orientation val="minMax"/>
        </c:scaling>
        <c:delete val="1"/>
        <c:axPos val="b"/>
        <c:numFmt formatCode="General" sourceLinked="1"/>
        <c:majorTickMark val="out"/>
        <c:minorTickMark val="none"/>
        <c:tickLblPos val="nextTo"/>
        <c:crossAx val="194724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lc2.xlsx]Pivot Tablw!PivotTable3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Revenue % by Segment</a:t>
            </a:r>
          </a:p>
        </c:rich>
      </c:tx>
      <c:layout>
        <c:manualLayout>
          <c:xMode val="edge"/>
          <c:yMode val="edge"/>
          <c:x val="3.6922572178477664E-2"/>
          <c:y val="0.1348167094977756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58000"/>
            </a:schemeClr>
          </a:solidFill>
          <a:ln w="19050">
            <a:solidFill>
              <a:schemeClr val="lt1"/>
            </a:solidFill>
          </a:ln>
          <a:effectLst/>
        </c:spPr>
        <c:dLbl>
          <c:idx val="0"/>
          <c:layout>
            <c:manualLayout>
              <c:x val="0.10841160275326413"/>
              <c:y val="0.198830657748470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dLbl>
          <c:idx val="0"/>
          <c:layout>
            <c:manualLayout>
              <c:x val="-6.9398150775082212E-2"/>
              <c:y val="0.169065582254997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980011926216198"/>
                  <c:h val="7.0089258569983506E-2"/>
                </c:manualLayout>
              </c15:layout>
            </c:ext>
          </c:extLst>
        </c:dLbl>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
      </c:pivotFmt>
    </c:pivotFmts>
    <c:plotArea>
      <c:layout>
        <c:manualLayout>
          <c:layoutTarget val="inner"/>
          <c:xMode val="edge"/>
          <c:yMode val="edge"/>
          <c:x val="0.45348566817618358"/>
          <c:y val="6.9718038807593252E-2"/>
          <c:w val="0.5240747000257252"/>
          <c:h val="0.87596808790111591"/>
        </c:manualLayout>
      </c:layout>
      <c:pieChart>
        <c:varyColors val="1"/>
        <c:ser>
          <c:idx val="0"/>
          <c:order val="0"/>
          <c:tx>
            <c:strRef>
              <c:f>'Pivot Tablw'!$C$8</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BFAF-42AB-B1FC-135D5CAFA7E4}"/>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4-BFAF-42AB-B1FC-135D5CAFA7E4}"/>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BFAF-42AB-B1FC-135D5CAFA7E4}"/>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2-BFAF-42AB-B1FC-135D5CAFA7E4}"/>
              </c:ext>
            </c:extLst>
          </c:dPt>
          <c:dLbls>
            <c:dLbl>
              <c:idx val="0"/>
              <c:layout>
                <c:manualLayout>
                  <c:x val="-6.9398150775082212E-2"/>
                  <c:y val="0.169065582254997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980011926216198"/>
                      <c:h val="7.0089258569983506E-2"/>
                    </c:manualLayout>
                  </c15:layout>
                </c:ext>
                <c:ext xmlns:c16="http://schemas.microsoft.com/office/drawing/2014/chart" uri="{C3380CC4-5D6E-409C-BE32-E72D297353CC}">
                  <c16:uniqueId val="{00000003-BFAF-42AB-B1FC-135D5CAFA7E4}"/>
                </c:ext>
              </c:extLst>
            </c:dLbl>
            <c:dLbl>
              <c:idx val="3"/>
              <c:layout>
                <c:manualLayout>
                  <c:x val="0.10841160275326413"/>
                  <c:y val="0.198830657748470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AF-42AB-B1FC-135D5CAFA7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Tablw'!$B$9:$B$13</c:f>
              <c:strCache>
                <c:ptCount val="4"/>
                <c:pt idx="0">
                  <c:v>Bronze</c:v>
                </c:pt>
                <c:pt idx="1">
                  <c:v>Gold</c:v>
                </c:pt>
                <c:pt idx="2">
                  <c:v>Platinum</c:v>
                </c:pt>
                <c:pt idx="3">
                  <c:v>Silver</c:v>
                </c:pt>
              </c:strCache>
            </c:strRef>
          </c:cat>
          <c:val>
            <c:numRef>
              <c:f>'Pivot Tablw'!$C$9:$C$13</c:f>
              <c:numCache>
                <c:formatCode>0.00%</c:formatCode>
                <c:ptCount val="4"/>
                <c:pt idx="0">
                  <c:v>8.5037453588834952E-2</c:v>
                </c:pt>
                <c:pt idx="1">
                  <c:v>0.22474194703568667</c:v>
                </c:pt>
                <c:pt idx="2">
                  <c:v>0.48637622016846738</c:v>
                </c:pt>
                <c:pt idx="3">
                  <c:v>0.20384437920701101</c:v>
                </c:pt>
              </c:numCache>
            </c:numRef>
          </c:val>
          <c:extLst>
            <c:ext xmlns:c16="http://schemas.microsoft.com/office/drawing/2014/chart" uri="{C3380CC4-5D6E-409C-BE32-E72D297353CC}">
              <c16:uniqueId val="{00000000-BFAF-42AB-B1FC-135D5CAFA7E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34234677808131131"/>
          <c:w val="0.1851800868354474"/>
          <c:h val="0.5542004392308103"/>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lc2.xlsx]Pivot Tablw!PivotTable4</c:name>
    <c:fmtId val="0"/>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Customer count by Segment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Tablw'!$F$2</c:f>
              <c:strCache>
                <c:ptCount val="1"/>
                <c:pt idx="0">
                  <c:v>Total</c:v>
                </c:pt>
              </c:strCache>
            </c:strRef>
          </c:tx>
          <c:spPr>
            <a:solidFill>
              <a:schemeClr val="accent1"/>
            </a:solidFill>
            <a:ln>
              <a:noFill/>
            </a:ln>
            <a:effectLst/>
          </c:spPr>
          <c:invertIfNegative val="0"/>
          <c:cat>
            <c:strRef>
              <c:f>'Pivot Tablw'!$E$3:$E$7</c:f>
              <c:strCache>
                <c:ptCount val="4"/>
                <c:pt idx="0">
                  <c:v>Bronze</c:v>
                </c:pt>
                <c:pt idx="1">
                  <c:v>Gold</c:v>
                </c:pt>
                <c:pt idx="2">
                  <c:v>Platinum</c:v>
                </c:pt>
                <c:pt idx="3">
                  <c:v>Silver</c:v>
                </c:pt>
              </c:strCache>
            </c:strRef>
          </c:cat>
          <c:val>
            <c:numRef>
              <c:f>'Pivot Tablw'!$F$3:$F$7</c:f>
              <c:numCache>
                <c:formatCode>General</c:formatCode>
                <c:ptCount val="4"/>
                <c:pt idx="0">
                  <c:v>18</c:v>
                </c:pt>
                <c:pt idx="1">
                  <c:v>9</c:v>
                </c:pt>
                <c:pt idx="2">
                  <c:v>7</c:v>
                </c:pt>
                <c:pt idx="3">
                  <c:v>16</c:v>
                </c:pt>
              </c:numCache>
            </c:numRef>
          </c:val>
          <c:extLst>
            <c:ext xmlns:c16="http://schemas.microsoft.com/office/drawing/2014/chart" uri="{C3380CC4-5D6E-409C-BE32-E72D297353CC}">
              <c16:uniqueId val="{00000000-7CD1-4BE6-B2F8-EBCAA2EB6B6A}"/>
            </c:ext>
          </c:extLst>
        </c:ser>
        <c:dLbls>
          <c:showLegendKey val="0"/>
          <c:showVal val="0"/>
          <c:showCatName val="0"/>
          <c:showSerName val="0"/>
          <c:showPercent val="0"/>
          <c:showBubbleSize val="0"/>
        </c:dLbls>
        <c:gapWidth val="219"/>
        <c:overlap val="-27"/>
        <c:axId val="273831647"/>
        <c:axId val="273833567"/>
      </c:barChart>
      <c:catAx>
        <c:axId val="27383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273833567"/>
        <c:crosses val="autoZero"/>
        <c:auto val="1"/>
        <c:lblAlgn val="ctr"/>
        <c:lblOffset val="100"/>
        <c:noMultiLvlLbl val="0"/>
      </c:catAx>
      <c:valAx>
        <c:axId val="27383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383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381000</xdr:colOff>
      <xdr:row>7</xdr:row>
      <xdr:rowOff>103910</xdr:rowOff>
    </xdr:from>
    <xdr:to>
      <xdr:col>7</xdr:col>
      <xdr:colOff>857250</xdr:colOff>
      <xdr:row>17</xdr:row>
      <xdr:rowOff>76200</xdr:rowOff>
    </xdr:to>
    <xdr:graphicFrame macro="">
      <xdr:nvGraphicFramePr>
        <xdr:cNvPr id="2" name="Chart 1">
          <a:extLst>
            <a:ext uri="{FF2B5EF4-FFF2-40B4-BE49-F238E27FC236}">
              <a16:creationId xmlns:a16="http://schemas.microsoft.com/office/drawing/2014/main" id="{DDF464CF-AC59-32E0-7186-805E7B2F3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95251</xdr:colOff>
      <xdr:row>7</xdr:row>
      <xdr:rowOff>95251</xdr:rowOff>
    </xdr:from>
    <xdr:to>
      <xdr:col>11</xdr:col>
      <xdr:colOff>1304926</xdr:colOff>
      <xdr:row>17</xdr:row>
      <xdr:rowOff>38100</xdr:rowOff>
    </xdr:to>
    <xdr:graphicFrame macro="">
      <xdr:nvGraphicFramePr>
        <xdr:cNvPr id="3" name="Chart 2">
          <a:extLst>
            <a:ext uri="{FF2B5EF4-FFF2-40B4-BE49-F238E27FC236}">
              <a16:creationId xmlns:a16="http://schemas.microsoft.com/office/drawing/2014/main" id="{4262278D-529B-F5BA-09B1-7D0E28633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471488</xdr:colOff>
      <xdr:row>18</xdr:row>
      <xdr:rowOff>47624</xdr:rowOff>
    </xdr:from>
    <xdr:to>
      <xdr:col>10</xdr:col>
      <xdr:colOff>981075</xdr:colOff>
      <xdr:row>29</xdr:row>
      <xdr:rowOff>37899</xdr:rowOff>
    </xdr:to>
    <xdr:graphicFrame macro="">
      <xdr:nvGraphicFramePr>
        <xdr:cNvPr id="4" name="Chart 3">
          <a:extLst>
            <a:ext uri="{FF2B5EF4-FFF2-40B4-BE49-F238E27FC236}">
              <a16:creationId xmlns:a16="http://schemas.microsoft.com/office/drawing/2014/main" id="{C1566628-AD78-F55B-3DD3-70E0B59AD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54428</xdr:colOff>
      <xdr:row>6</xdr:row>
      <xdr:rowOff>54429</xdr:rowOff>
    </xdr:from>
    <xdr:to>
      <xdr:col>14</xdr:col>
      <xdr:colOff>2245178</xdr:colOff>
      <xdr:row>6</xdr:row>
      <xdr:rowOff>54429</xdr:rowOff>
    </xdr:to>
    <xdr:cxnSp macro="">
      <xdr:nvCxnSpPr>
        <xdr:cNvPr id="8" name="Straight Connector 7">
          <a:extLst>
            <a:ext uri="{FF2B5EF4-FFF2-40B4-BE49-F238E27FC236}">
              <a16:creationId xmlns:a16="http://schemas.microsoft.com/office/drawing/2014/main" id="{E05BD0E7-AEF1-9806-2836-46E95AC06AF5}"/>
            </a:ext>
          </a:extLst>
        </xdr:cNvPr>
        <xdr:cNvCxnSpPr/>
      </xdr:nvCxnSpPr>
      <xdr:spPr>
        <a:xfrm>
          <a:off x="54428" y="1578429"/>
          <a:ext cx="16070036" cy="0"/>
        </a:xfrm>
        <a:prstGeom prst="line">
          <a:avLst/>
        </a:prstGeom>
        <a:ln w="34925"/>
      </xdr:spPr>
      <xdr:style>
        <a:lnRef idx="3">
          <a:schemeClr val="dk1"/>
        </a:lnRef>
        <a:fillRef idx="0">
          <a:schemeClr val="dk1"/>
        </a:fillRef>
        <a:effectRef idx="2">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5.962062615741" createdVersion="8" refreshedVersion="8" minRefreshableVersion="3" recordCount="51" xr:uid="{B7B63F69-EEFE-408D-A7D5-699FE3BF982C}">
  <cacheSource type="worksheet">
    <worksheetSource ref="A1:M1048576" sheet="Data"/>
  </cacheSource>
  <cacheFields count="13">
    <cacheField name="Customer_ID" numFmtId="0">
      <sharedItems containsBlank="1"/>
    </cacheField>
    <cacheField name="Customer_Name" numFmtId="0">
      <sharedItems containsBlank="1"/>
    </cacheField>
    <cacheField name="City" numFmtId="0">
      <sharedItems containsBlank="1" count="15">
        <s v="Pune"/>
        <s v="Noida"/>
        <s v="Ahmedabad"/>
        <s v="Hyderabad"/>
        <s v="Lucknow"/>
        <s v="Delhi"/>
        <s v="Bangalore"/>
        <s v="Kolkata"/>
        <s v="Chennai"/>
        <s v="Gurgaon"/>
        <s v="Surat"/>
        <s v="Chandigarh"/>
        <s v="Jaipur"/>
        <s v="Amroha"/>
        <m/>
      </sharedItems>
    </cacheField>
    <cacheField name="State" numFmtId="0">
      <sharedItems containsBlank="1" count="12">
        <s v="Maharashtra"/>
        <s v="UP"/>
        <s v="Gujarat"/>
        <s v="Telangana"/>
        <s v="Delhi"/>
        <s v="Karnataka"/>
        <s v="West Bengal"/>
        <s v="Tamil Nadu"/>
        <s v="Haryana"/>
        <s v="Punjab"/>
        <s v="Rajasthan"/>
        <m/>
      </sharedItems>
    </cacheField>
    <cacheField name="Age" numFmtId="0">
      <sharedItems containsString="0" containsBlank="1" containsNumber="1" containsInteger="1" minValue="23" maxValue="55"/>
    </cacheField>
    <cacheField name="Membership" numFmtId="0">
      <sharedItems containsBlank="1" count="5">
        <s v="Silver"/>
        <s v="Bronze"/>
        <s v="Platinum"/>
        <s v="Gold"/>
        <m/>
      </sharedItems>
    </cacheField>
    <cacheField name="Join_Date" numFmtId="0">
      <sharedItems containsBlank="1"/>
    </cacheField>
    <cacheField name="Total_Orders" numFmtId="0">
      <sharedItems containsString="0" containsBlank="1" containsNumber="1" containsInteger="1" minValue="1" maxValue="48"/>
    </cacheField>
    <cacheField name="Total_Spent" numFmtId="0">
      <sharedItems containsString="0" containsBlank="1" containsNumber="1" containsInteger="1" minValue="9075" maxValue="455630"/>
    </cacheField>
    <cacheField name="Last_Purchase_Date" numFmtId="0">
      <sharedItems containsBlank="1"/>
    </cacheField>
    <cacheField name="Product_Category" numFmtId="0">
      <sharedItems containsBlank="1"/>
    </cacheField>
    <cacheField name="Preferred_Channel" numFmtId="0">
      <sharedItems containsBlank="1"/>
    </cacheField>
    <cacheField name="Segment" numFmtId="0">
      <sharedItems containsBlank="1" count="5">
        <s v="Silver"/>
        <s v="Bronze"/>
        <s v="Platinum"/>
        <s v="Gol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CUST-102"/>
    <s v="Rajesh Kumar"/>
    <x v="0"/>
    <x v="0"/>
    <n v="33"/>
    <x v="0"/>
    <s v="2023-03-08"/>
    <n v="5"/>
    <n v="38732"/>
    <s v="2024-05-24"/>
    <s v="Laptop"/>
    <s v="Both"/>
    <x v="0"/>
  </r>
  <r>
    <s v="CUST-103"/>
    <s v="Priya Sharma"/>
    <x v="1"/>
    <x v="1"/>
    <n v="27"/>
    <x v="1"/>
    <s v="2024-01-16"/>
    <n v="4"/>
    <n v="11536"/>
    <s v="2024-12-20"/>
    <s v="Home &amp; Kitchen"/>
    <s v="Online"/>
    <x v="1"/>
  </r>
  <r>
    <s v="CUST-104"/>
    <s v="Amit Singh"/>
    <x v="2"/>
    <x v="2"/>
    <n v="45"/>
    <x v="1"/>
    <s v="2024-06-13"/>
    <n v="2"/>
    <n v="27359"/>
    <s v="2024-03-15"/>
    <s v="Appliances"/>
    <s v="Both"/>
    <x v="1"/>
  </r>
  <r>
    <s v="CUST-105"/>
    <s v="Sunita Verma"/>
    <x v="3"/>
    <x v="3"/>
    <n v="55"/>
    <x v="2"/>
    <s v="2024-03-25"/>
    <n v="35"/>
    <n v="196033"/>
    <s v="2024-06-13"/>
    <s v="Electronics"/>
    <s v="Offline"/>
    <x v="2"/>
  </r>
  <r>
    <s v="CUST-106"/>
    <s v="Mohit Gupta"/>
    <x v="4"/>
    <x v="1"/>
    <n v="35"/>
    <x v="2"/>
    <s v="2023-06-18"/>
    <n v="34"/>
    <n v="192371"/>
    <s v="2024-09-07"/>
    <s v="Home &amp; Kitchen"/>
    <s v="Offline"/>
    <x v="2"/>
  </r>
  <r>
    <s v="CUST-107"/>
    <s v="Kavita Jain"/>
    <x v="5"/>
    <x v="4"/>
    <n v="35"/>
    <x v="0"/>
    <s v="2024-03-06"/>
    <n v="8"/>
    <n v="78988"/>
    <s v="2024-10-06"/>
    <s v="Home &amp; Kitchen"/>
    <s v="Both"/>
    <x v="0"/>
  </r>
  <r>
    <s v="CUST-108"/>
    <s v="Rahul Yadav"/>
    <x v="6"/>
    <x v="5"/>
    <n v="23"/>
    <x v="2"/>
    <s v="2023-03-16"/>
    <n v="22"/>
    <n v="369688"/>
    <s v="2024-07-21"/>
    <s v="Electronics"/>
    <s v="Online"/>
    <x v="2"/>
  </r>
  <r>
    <s v="CUST-109"/>
    <s v="Pooja Mishra"/>
    <x v="7"/>
    <x v="6"/>
    <n v="46"/>
    <x v="1"/>
    <s v="2023-06-05"/>
    <n v="4"/>
    <n v="22150"/>
    <s v="2024-04-26"/>
    <s v="Electronics"/>
    <s v="Both"/>
    <x v="1"/>
  </r>
  <r>
    <s v="CUST-110"/>
    <s v="Sanjay Patel"/>
    <x v="8"/>
    <x v="7"/>
    <n v="47"/>
    <x v="0"/>
    <s v="2024-06-25"/>
    <n v="7"/>
    <n v="38280"/>
    <s v="2024-12-16"/>
    <s v="Electronics"/>
    <s v="Online"/>
    <x v="0"/>
  </r>
  <r>
    <s v="CUST-111"/>
    <s v="Meena Tiwari"/>
    <x v="9"/>
    <x v="8"/>
    <n v="31"/>
    <x v="1"/>
    <s v="2024-01-14"/>
    <n v="1"/>
    <n v="9075"/>
    <s v="2024-02-05"/>
    <s v="Mobile"/>
    <s v="Online"/>
    <x v="1"/>
  </r>
  <r>
    <s v="CUST-112"/>
    <s v="Vikram Nair"/>
    <x v="6"/>
    <x v="5"/>
    <n v="35"/>
    <x v="0"/>
    <s v="2024-01-11"/>
    <n v="6"/>
    <n v="62711"/>
    <s v="2024-05-04"/>
    <s v="Mobile"/>
    <s v="Online"/>
    <x v="0"/>
  </r>
  <r>
    <s v="CUST-113"/>
    <s v="Anita Bose"/>
    <x v="1"/>
    <x v="1"/>
    <n v="40"/>
    <x v="2"/>
    <s v="2023-01-19"/>
    <n v="30"/>
    <n v="174996"/>
    <s v="2024-04-13"/>
    <s v="Laptop"/>
    <s v="Offline"/>
    <x v="2"/>
  </r>
  <r>
    <s v="CUST-114"/>
    <s v="Rohit Das"/>
    <x v="10"/>
    <x v="2"/>
    <n v="46"/>
    <x v="1"/>
    <s v="2023-09-27"/>
    <n v="5"/>
    <n v="17156"/>
    <s v="2024-02-06"/>
    <s v="Electronics"/>
    <s v="Offline"/>
    <x v="1"/>
  </r>
  <r>
    <s v="CUST-115"/>
    <s v="Swati Agarwal"/>
    <x v="9"/>
    <x v="8"/>
    <n v="50"/>
    <x v="1"/>
    <s v="2023-03-10"/>
    <n v="2"/>
    <n v="26441"/>
    <s v="2024-11-24"/>
    <s v="Mobile"/>
    <s v="Online"/>
    <x v="1"/>
  </r>
  <r>
    <s v="CUST-116"/>
    <s v="Manish Trivedi"/>
    <x v="10"/>
    <x v="2"/>
    <n v="42"/>
    <x v="1"/>
    <s v="2023-03-25"/>
    <n v="2"/>
    <n v="28315"/>
    <s v="2024-07-10"/>
    <s v="Laptop"/>
    <s v="Online"/>
    <x v="1"/>
  </r>
  <r>
    <s v="CUST-117"/>
    <s v="Deepa Reddy"/>
    <x v="11"/>
    <x v="9"/>
    <n v="38"/>
    <x v="0"/>
    <s v="2023-01-17"/>
    <n v="10"/>
    <n v="49204"/>
    <s v="2024-06-26"/>
    <s v="Laptop"/>
    <s v="Both"/>
    <x v="0"/>
  </r>
  <r>
    <s v="CUST-118"/>
    <s v="Suresh Iyer"/>
    <x v="6"/>
    <x v="5"/>
    <n v="38"/>
    <x v="1"/>
    <s v="2023-09-10"/>
    <n v="5"/>
    <n v="18413"/>
    <s v="2024-03-10"/>
    <s v="Laptop"/>
    <s v="Both"/>
    <x v="1"/>
  </r>
  <r>
    <s v="CUST-119"/>
    <s v="Nandini Roy"/>
    <x v="1"/>
    <x v="1"/>
    <n v="50"/>
    <x v="1"/>
    <s v="2023-03-13"/>
    <n v="2"/>
    <n v="16037"/>
    <s v="2024-06-01"/>
    <s v="Mobile"/>
    <s v="Both"/>
    <x v="1"/>
  </r>
  <r>
    <s v="CUST-120"/>
    <s v="Arun Mehta"/>
    <x v="7"/>
    <x v="6"/>
    <n v="34"/>
    <x v="1"/>
    <s v="2024-03-22"/>
    <n v="3"/>
    <n v="10624"/>
    <s v="2024-11-14"/>
    <s v="Appliances"/>
    <s v="Offline"/>
    <x v="1"/>
  </r>
  <r>
    <s v="CUST-121"/>
    <s v="Rekha Pillai"/>
    <x v="10"/>
    <x v="2"/>
    <n v="47"/>
    <x v="1"/>
    <s v="2023-01-04"/>
    <n v="5"/>
    <n v="21438"/>
    <s v="2024-04-01"/>
    <s v="Home &amp; Kitchen"/>
    <s v="Offline"/>
    <x v="1"/>
  </r>
  <r>
    <s v="CUST-122"/>
    <s v="Arjun Sharma"/>
    <x v="1"/>
    <x v="1"/>
    <n v="32"/>
    <x v="1"/>
    <s v="2024-01-26"/>
    <n v="2"/>
    <n v="19552"/>
    <s v="2024-05-24"/>
    <s v="Laptop"/>
    <s v="Offline"/>
    <x v="1"/>
  </r>
  <r>
    <s v="CUST-123"/>
    <s v="Divya Gupta"/>
    <x v="4"/>
    <x v="1"/>
    <n v="40"/>
    <x v="0"/>
    <s v="2023-03-24"/>
    <n v="5"/>
    <n v="31351"/>
    <s v="2024-05-03"/>
    <s v="Home &amp; Kitchen"/>
    <s v="Online"/>
    <x v="0"/>
  </r>
  <r>
    <s v="CUST-124"/>
    <s v="Nitin Verma"/>
    <x v="5"/>
    <x v="4"/>
    <n v="45"/>
    <x v="0"/>
    <s v="2024-01-21"/>
    <n v="9"/>
    <n v="76590"/>
    <s v="2024-10-10"/>
    <s v="Appliances"/>
    <s v="Online"/>
    <x v="0"/>
  </r>
  <r>
    <s v="CUST-125"/>
    <s v="Riya Singh"/>
    <x v="10"/>
    <x v="2"/>
    <n v="47"/>
    <x v="1"/>
    <s v="2024-06-06"/>
    <n v="4"/>
    <n v="13677"/>
    <s v="2024-06-05"/>
    <s v="Appliances"/>
    <s v="Offline"/>
    <x v="1"/>
  </r>
  <r>
    <s v="CUST-126"/>
    <s v="Kiran Patel"/>
    <x v="10"/>
    <x v="2"/>
    <n v="46"/>
    <x v="1"/>
    <s v="2023-09-18"/>
    <n v="2"/>
    <n v="28430"/>
    <s v="2024-06-09"/>
    <s v="Appliances"/>
    <s v="Offline"/>
    <x v="1"/>
  </r>
  <r>
    <s v="CUST-127"/>
    <s v="Ajay Yadav"/>
    <x v="12"/>
    <x v="10"/>
    <n v="46"/>
    <x v="0"/>
    <s v="2023-03-27"/>
    <n v="9"/>
    <n v="61403"/>
    <s v="2024-11-16"/>
    <s v="Appliances"/>
    <s v="Online"/>
    <x v="0"/>
  </r>
  <r>
    <s v="CUST-128"/>
    <s v="Sneha Jain"/>
    <x v="4"/>
    <x v="1"/>
    <n v="51"/>
    <x v="3"/>
    <s v="2024-01-01"/>
    <n v="15"/>
    <n v="95055"/>
    <s v="2024-08-03"/>
    <s v="Mobile"/>
    <s v="Both"/>
    <x v="3"/>
  </r>
  <r>
    <s v="CUST-129"/>
    <s v="Varun Tiwari"/>
    <x v="9"/>
    <x v="8"/>
    <n v="39"/>
    <x v="2"/>
    <s v="2024-03-01"/>
    <n v="30"/>
    <n v="455630"/>
    <s v="2024-07-09"/>
    <s v="Appliances"/>
    <s v="Online"/>
    <x v="2"/>
  </r>
  <r>
    <s v="CUST-130"/>
    <s v="Preeti Nair"/>
    <x v="13"/>
    <x v="1"/>
    <n v="47"/>
    <x v="1"/>
    <s v="2023-01-02"/>
    <n v="5"/>
    <n v="16219"/>
    <s v="2024-04-18"/>
    <s v="Mobile"/>
    <s v="Online"/>
    <x v="1"/>
  </r>
  <r>
    <s v="CUST-131"/>
    <s v="Gaurav Das"/>
    <x v="10"/>
    <x v="2"/>
    <n v="48"/>
    <x v="0"/>
    <s v="2023-03-26"/>
    <n v="5"/>
    <n v="42352"/>
    <s v="2024-08-06"/>
    <s v="Mobile"/>
    <s v="Offline"/>
    <x v="0"/>
  </r>
  <r>
    <s v="CUST-132"/>
    <s v="Sachin Agarwal"/>
    <x v="1"/>
    <x v="1"/>
    <n v="34"/>
    <x v="0"/>
    <s v="2024-06-18"/>
    <n v="10"/>
    <n v="41379"/>
    <s v="2024-06-21"/>
    <s v="Home &amp; Kitchen"/>
    <s v="Online"/>
    <x v="0"/>
  </r>
  <r>
    <s v="CUST-133"/>
    <s v="Neha Trivedi"/>
    <x v="9"/>
    <x v="8"/>
    <n v="30"/>
    <x v="1"/>
    <s v="2024-06-05"/>
    <n v="5"/>
    <n v="9921"/>
    <s v="2024-02-02"/>
    <s v="Home &amp; Kitchen"/>
    <s v="Both"/>
    <x v="1"/>
  </r>
  <r>
    <s v="CUST-134"/>
    <s v="Manoj Reddy"/>
    <x v="0"/>
    <x v="0"/>
    <n v="36"/>
    <x v="3"/>
    <s v="2024-01-20"/>
    <n v="15"/>
    <n v="101116"/>
    <s v="2024-01-11"/>
    <s v="Laptop"/>
    <s v="Online"/>
    <x v="3"/>
  </r>
  <r>
    <s v="CUST-135"/>
    <s v="Sonal Iyer"/>
    <x v="7"/>
    <x v="6"/>
    <n v="29"/>
    <x v="3"/>
    <s v="2023-03-16"/>
    <n v="10"/>
    <n v="148320"/>
    <s v="2024-04-13"/>
    <s v="Electronics"/>
    <s v="Online"/>
    <x v="3"/>
  </r>
  <r>
    <s v="CUST-136"/>
    <s v="Vikas Roy"/>
    <x v="13"/>
    <x v="1"/>
    <n v="27"/>
    <x v="0"/>
    <s v="2024-06-06"/>
    <n v="8"/>
    <n v="40909"/>
    <s v="2024-06-09"/>
    <s v="Mobile"/>
    <s v="Both"/>
    <x v="0"/>
  </r>
  <r>
    <s v="CUST-137"/>
    <s v="Bhavna Mehta"/>
    <x v="5"/>
    <x v="4"/>
    <n v="23"/>
    <x v="0"/>
    <s v="2023-06-06"/>
    <n v="5"/>
    <n v="38699"/>
    <s v="2024-05-26"/>
    <s v="Home &amp; Kitchen"/>
    <s v="Offline"/>
    <x v="0"/>
  </r>
  <r>
    <s v="CUST-138"/>
    <s v="Harsh Pillai"/>
    <x v="7"/>
    <x v="6"/>
    <n v="49"/>
    <x v="3"/>
    <s v="2024-06-03"/>
    <n v="15"/>
    <n v="85281"/>
    <s v="2024-03-20"/>
    <s v="Mobile"/>
    <s v="Offline"/>
    <x v="3"/>
  </r>
  <r>
    <s v="CUST-139"/>
    <s v="Monika Kumar"/>
    <x v="1"/>
    <x v="1"/>
    <n v="24"/>
    <x v="0"/>
    <s v="2023-09-27"/>
    <n v="9"/>
    <n v="47738"/>
    <s v="2024-04-18"/>
    <s v="Appliances"/>
    <s v="Both"/>
    <x v="0"/>
  </r>
  <r>
    <s v="CUST-140"/>
    <s v="Tarun Sharma"/>
    <x v="1"/>
    <x v="1"/>
    <n v="40"/>
    <x v="2"/>
    <s v="2024-03-13"/>
    <n v="36"/>
    <n v="369729"/>
    <s v="2024-12-25"/>
    <s v="Appliances"/>
    <s v="Online"/>
    <x v="2"/>
  </r>
  <r>
    <s v="CUST-141"/>
    <s v="Shruti Gupta"/>
    <x v="4"/>
    <x v="1"/>
    <n v="25"/>
    <x v="0"/>
    <s v="2023-03-08"/>
    <n v="7"/>
    <n v="72454"/>
    <s v="2024-03-27"/>
    <s v="Home &amp; Kitchen"/>
    <s v="Online"/>
    <x v="0"/>
  </r>
  <r>
    <s v="CUST-142"/>
    <s v="Anand Verma"/>
    <x v="0"/>
    <x v="0"/>
    <n v="23"/>
    <x v="2"/>
    <s v="2024-06-07"/>
    <n v="48"/>
    <n v="219077"/>
    <s v="2024-03-21"/>
    <s v="Mobile"/>
    <s v="Online"/>
    <x v="2"/>
  </r>
  <r>
    <s v="CUST-143"/>
    <s v="Pallavi Singh"/>
    <x v="11"/>
    <x v="9"/>
    <n v="49"/>
    <x v="3"/>
    <s v="2023-03-01"/>
    <n v="18"/>
    <n v="84666"/>
    <s v="2024-07-15"/>
    <s v="Electronics"/>
    <s v="Online"/>
    <x v="3"/>
  </r>
  <r>
    <s v="CUST-144"/>
    <s v="Kunal Patel"/>
    <x v="13"/>
    <x v="1"/>
    <n v="49"/>
    <x v="3"/>
    <s v="2023-03-16"/>
    <n v="15"/>
    <n v="91926"/>
    <s v="2024-09-06"/>
    <s v="Appliances"/>
    <s v="Both"/>
    <x v="3"/>
  </r>
  <r>
    <s v="CUST-145"/>
    <s v="Jyoti Yadav"/>
    <x v="13"/>
    <x v="1"/>
    <n v="28"/>
    <x v="0"/>
    <s v="2023-09-20"/>
    <n v="6"/>
    <n v="43217"/>
    <s v="2024-03-16"/>
    <s v="Appliances"/>
    <s v="Online"/>
    <x v="0"/>
  </r>
  <r>
    <s v="CUST-146"/>
    <s v="Deepak Jain"/>
    <x v="10"/>
    <x v="2"/>
    <n v="32"/>
    <x v="1"/>
    <s v="2024-03-17"/>
    <n v="5"/>
    <n v="27028"/>
    <s v="2024-09-03"/>
    <s v="Appliances"/>
    <s v="Online"/>
    <x v="1"/>
  </r>
  <r>
    <s v="CUST-147"/>
    <s v="Nidhi Tiwari"/>
    <x v="4"/>
    <x v="1"/>
    <n v="48"/>
    <x v="3"/>
    <s v="2023-09-17"/>
    <n v="13"/>
    <n v="89500"/>
    <s v="2024-05-11"/>
    <s v="Home &amp; Kitchen"/>
    <s v="Offline"/>
    <x v="3"/>
  </r>
  <r>
    <s v="CUST-148"/>
    <s v="Rahul Nair"/>
    <x v="12"/>
    <x v="10"/>
    <n v="23"/>
    <x v="3"/>
    <s v="2023-01-14"/>
    <n v="15"/>
    <n v="88146"/>
    <s v="2024-04-02"/>
    <s v="Mobile"/>
    <s v="Online"/>
    <x v="3"/>
  </r>
  <r>
    <s v="CUST-149"/>
    <s v="Prachi Das"/>
    <x v="7"/>
    <x v="6"/>
    <n v="38"/>
    <x v="1"/>
    <s v="2023-01-19"/>
    <n v="3"/>
    <n v="22377"/>
    <s v="2024-04-24"/>
    <s v="Mobile"/>
    <s v="Online"/>
    <x v="1"/>
  </r>
  <r>
    <s v="CUST-150"/>
    <s v="Rohan Agarwal"/>
    <x v="6"/>
    <x v="5"/>
    <n v="31"/>
    <x v="0"/>
    <s v="2024-03-10"/>
    <n v="7"/>
    <n v="64790"/>
    <s v="2024-04-15"/>
    <s v="Electronics"/>
    <s v="Online"/>
    <x v="0"/>
  </r>
  <r>
    <s v="CUST-151"/>
    <s v="Smita Trivedi"/>
    <x v="3"/>
    <x v="3"/>
    <n v="27"/>
    <x v="3"/>
    <s v="2024-06-28"/>
    <n v="10"/>
    <n v="129753"/>
    <s v="2024-06-11"/>
    <s v="Laptop"/>
    <s v="Online"/>
    <x v="3"/>
  </r>
  <r>
    <m/>
    <m/>
    <x v="14"/>
    <x v="11"/>
    <m/>
    <x v="4"/>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F9360-1143-4CAB-88CB-3F4AC6BD142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6" firstHeaderRow="1" firstDataRow="1" firstDataCol="1"/>
  <pivotFields count="13">
    <pivotField showAll="0"/>
    <pivotField showAll="0"/>
    <pivotField axis="axisRow" showAll="0" measureFilter="1">
      <items count="16">
        <item x="2"/>
        <item x="13"/>
        <item x="6"/>
        <item x="11"/>
        <item x="8"/>
        <item x="5"/>
        <item x="9"/>
        <item x="3"/>
        <item x="12"/>
        <item x="7"/>
        <item x="4"/>
        <item x="1"/>
        <item x="0"/>
        <item x="10"/>
        <item x="14"/>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4">
    <i>
      <x v="2"/>
    </i>
    <i>
      <x v="6"/>
    </i>
    <i>
      <x v="11"/>
    </i>
    <i t="grand">
      <x/>
    </i>
  </rowItems>
  <colItems count="1">
    <i/>
  </colItems>
  <dataFields count="1">
    <dataField name="Sum of Total_Spent" fld="8" baseField="0" baseItem="0"/>
  </dataFields>
  <formats count="18">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3">
            <x v="2"/>
            <x v="6"/>
            <x v="11"/>
          </reference>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2" type="button" dataOnly="0" labelOnly="1" outline="0" axis="axisRow" fieldPosition="0"/>
    </format>
    <format dxfId="9">
      <pivotArea dataOnly="0" labelOnly="1" fieldPosition="0">
        <references count="1">
          <reference field="2" count="3">
            <x v="2"/>
            <x v="6"/>
            <x v="11"/>
          </reference>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2" type="button" dataOnly="0" labelOnly="1" outline="0" axis="axisRow" fieldPosition="0"/>
    </format>
    <format dxfId="15">
      <pivotArea dataOnly="0" labelOnly="1" fieldPosition="0">
        <references count="1">
          <reference field="2" count="3">
            <x v="2"/>
            <x v="6"/>
            <x v="11"/>
          </reference>
        </references>
      </pivotArea>
    </format>
    <format dxfId="16">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3" showRowHeaders="1" showColHeaders="1" showRowStripes="1"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1393A2-6758-44EF-9E94-82F3081FE9E0}"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8:C13" firstHeaderRow="1" firstDataRow="1" firstDataCol="1"/>
  <pivotFields count="13">
    <pivotField showAll="0"/>
    <pivotField showAll="0"/>
    <pivotField showAll="0">
      <items count="16">
        <item x="2"/>
        <item x="13"/>
        <item x="6"/>
        <item x="11"/>
        <item x="8"/>
        <item x="5"/>
        <item x="9"/>
        <item x="3"/>
        <item x="12"/>
        <item x="7"/>
        <item x="4"/>
        <item x="1"/>
        <item x="0"/>
        <item x="10"/>
        <item x="14"/>
        <item t="default"/>
      </items>
    </pivotField>
    <pivotField showAll="0"/>
    <pivotField showAll="0"/>
    <pivotField showAll="0">
      <items count="6">
        <item x="1"/>
        <item x="3"/>
        <item x="2"/>
        <item x="0"/>
        <item x="4"/>
        <item t="default"/>
      </items>
    </pivotField>
    <pivotField showAll="0"/>
    <pivotField showAll="0"/>
    <pivotField dataField="1" showAll="0"/>
    <pivotField showAll="0"/>
    <pivotField showAll="0"/>
    <pivotField showAll="0"/>
    <pivotField axis="axisRow" showAll="0">
      <items count="6">
        <item x="1"/>
        <item x="3"/>
        <item x="2"/>
        <item x="0"/>
        <item h="1" x="4"/>
        <item t="default"/>
      </items>
    </pivotField>
  </pivotFields>
  <rowFields count="1">
    <field x="12"/>
  </rowFields>
  <rowItems count="5">
    <i>
      <x/>
    </i>
    <i>
      <x v="1"/>
    </i>
    <i>
      <x v="2"/>
    </i>
    <i>
      <x v="3"/>
    </i>
    <i t="grand">
      <x/>
    </i>
  </rowItems>
  <colItems count="1">
    <i/>
  </colItems>
  <dataFields count="1">
    <dataField name="Sum of Total_Spent" fld="8" showDataAs="percentOfTotal" baseField="0" baseItem="0" numFmtId="10"/>
  </dataFields>
  <formats count="12">
    <format dxfId="18">
      <pivotArea type="all" dataOnly="0" outline="0" fieldPosition="0"/>
    </format>
    <format dxfId="19">
      <pivotArea outline="0" collapsedLevelsAreSubtotals="1" fieldPosition="0"/>
    </format>
    <format dxfId="20">
      <pivotArea field="12" type="button" dataOnly="0" labelOnly="1" outline="0" axis="axisRow" fieldPosition="0"/>
    </format>
    <format dxfId="21">
      <pivotArea dataOnly="0" labelOnly="1" fieldPosition="0">
        <references count="1">
          <reference field="12" count="0"/>
        </references>
      </pivotArea>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12" type="button" dataOnly="0" labelOnly="1" outline="0" axis="axisRow" fieldPosition="0"/>
    </format>
    <format dxfId="27">
      <pivotArea dataOnly="0" labelOnly="1" fieldPosition="0">
        <references count="1">
          <reference field="12" count="0"/>
        </references>
      </pivotArea>
    </format>
    <format dxfId="28">
      <pivotArea dataOnly="0" labelOnly="1" grandRow="1" outline="0" fieldPosition="0"/>
    </format>
    <format dxfId="2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s>
  <pivotTableStyleInfo name="PivotStyleDark2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362C73-6CA4-4A44-AFEB-7C02C2BD2AB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E2:F7" firstHeaderRow="1" firstDataRow="1" firstDataCol="1"/>
  <pivotFields count="13">
    <pivotField showAll="0"/>
    <pivotField dataField="1" showAll="0"/>
    <pivotField showAll="0">
      <items count="16">
        <item x="2"/>
        <item x="13"/>
        <item x="6"/>
        <item x="11"/>
        <item x="8"/>
        <item x="5"/>
        <item x="9"/>
        <item x="3"/>
        <item x="12"/>
        <item x="7"/>
        <item x="4"/>
        <item x="1"/>
        <item x="0"/>
        <item x="10"/>
        <item x="14"/>
        <item t="default"/>
      </items>
    </pivotField>
    <pivotField showAll="0"/>
    <pivotField showAll="0"/>
    <pivotField showAll="0">
      <items count="6">
        <item x="1"/>
        <item x="3"/>
        <item x="2"/>
        <item x="0"/>
        <item x="4"/>
        <item t="default"/>
      </items>
    </pivotField>
    <pivotField showAll="0"/>
    <pivotField showAll="0"/>
    <pivotField showAll="0"/>
    <pivotField showAll="0"/>
    <pivotField showAll="0"/>
    <pivotField showAll="0"/>
    <pivotField axis="axisRow" showAll="0">
      <items count="6">
        <item h="1" x="4"/>
        <item x="1"/>
        <item x="3"/>
        <item x="2"/>
        <item x="0"/>
        <item t="default"/>
      </items>
    </pivotField>
  </pivotFields>
  <rowFields count="1">
    <field x="12"/>
  </rowFields>
  <rowItems count="5">
    <i>
      <x v="1"/>
    </i>
    <i>
      <x v="2"/>
    </i>
    <i>
      <x v="3"/>
    </i>
    <i>
      <x v="4"/>
    </i>
    <i t="grand">
      <x/>
    </i>
  </rowItems>
  <colItems count="1">
    <i/>
  </colItems>
  <dataFields count="1">
    <dataField name="Count of Customer_Name" fld="1" subtotal="count" baseField="0" baseItem="0"/>
  </dataFields>
  <formats count="12">
    <format dxfId="30">
      <pivotArea type="all" dataOnly="0" outline="0" fieldPosition="0"/>
    </format>
    <format dxfId="31">
      <pivotArea outline="0" collapsedLevelsAreSubtotals="1" fieldPosition="0"/>
    </format>
    <format dxfId="32">
      <pivotArea field="12" type="button" dataOnly="0" labelOnly="1" outline="0" axis="axisRow" fieldPosition="0"/>
    </format>
    <format dxfId="33">
      <pivotArea dataOnly="0" labelOnly="1" fieldPosition="0">
        <references count="1">
          <reference field="12" count="0"/>
        </references>
      </pivotArea>
    </format>
    <format dxfId="34">
      <pivotArea dataOnly="0" labelOnly="1" grandRow="1" outline="0" fieldPosition="0"/>
    </format>
    <format dxfId="35">
      <pivotArea dataOnly="0" labelOnly="1" outline="0" axis="axisValues" fieldPosition="0"/>
    </format>
    <format dxfId="36">
      <pivotArea type="all" dataOnly="0" outline="0" fieldPosition="0"/>
    </format>
    <format dxfId="37">
      <pivotArea outline="0" collapsedLevelsAreSubtotals="1" fieldPosition="0"/>
    </format>
    <format dxfId="38">
      <pivotArea field="12" type="button" dataOnly="0" labelOnly="1" outline="0" axis="axisRow" fieldPosition="0"/>
    </format>
    <format dxfId="39">
      <pivotArea dataOnly="0" labelOnly="1" fieldPosition="0">
        <references count="1">
          <reference field="12" count="0"/>
        </references>
      </pivotArea>
    </format>
    <format dxfId="40">
      <pivotArea dataOnly="0" labelOnly="1" grandRow="1" outline="0"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34CBB6-F011-4526-9ADC-A52D97FD82FC}" name="Table1" displayName="Table1" ref="A1:Q51" totalsRowShown="0" headerRowDxfId="63" dataDxfId="61" headerRowBorderDxfId="62" tableBorderDxfId="60" totalsRowBorderDxfId="59">
  <autoFilter ref="A1:Q51" xr:uid="{4234CBB6-F011-4526-9ADC-A52D97FD82FC}"/>
  <sortState xmlns:xlrd2="http://schemas.microsoft.com/office/spreadsheetml/2017/richdata2" ref="A2:Q51">
    <sortCondition descending="1" ref="I1:I51"/>
  </sortState>
  <tableColumns count="17">
    <tableColumn id="1" xr3:uid="{390A650E-3024-40DA-9790-56DFD0FC55BC}" name="Customer_ID" dataDxfId="58"/>
    <tableColumn id="2" xr3:uid="{1CC39248-B778-4D04-AFBB-ED93F91A811B}" name="Customer_Name" dataDxfId="57"/>
    <tableColumn id="3" xr3:uid="{91553BBA-4DC9-4F86-8DF6-213EE0AAB22D}" name="City" dataDxfId="56"/>
    <tableColumn id="4" xr3:uid="{17EE471F-284F-4313-99D0-4476DCDA8C47}" name="State" dataDxfId="55"/>
    <tableColumn id="5" xr3:uid="{0E3B0E48-DE45-4BB7-B2B1-6DDD3D97B983}" name="Age" dataDxfId="54"/>
    <tableColumn id="6" xr3:uid="{997D921D-F909-454B-8276-9B84EC9628B9}" name="Membership" dataDxfId="53"/>
    <tableColumn id="7" xr3:uid="{460A5FD3-4D37-42BC-85D3-2894F758B292}" name="Join_Date" dataDxfId="52"/>
    <tableColumn id="8" xr3:uid="{C940712E-A4B8-46AC-A834-A14E7526FAEF}" name="Total_Orders" dataDxfId="51"/>
    <tableColumn id="9" xr3:uid="{DFA12FCD-C2F1-41F0-BD7B-94C67F5FA3C6}" name="Total_Spent" dataDxfId="50"/>
    <tableColumn id="10" xr3:uid="{8712651F-E3F9-463E-BFFF-285087F1D658}" name="Last_Purchase_Date" dataDxfId="49"/>
    <tableColumn id="11" xr3:uid="{B67ECBAC-2F0C-474A-B207-6B865E8DD66A}" name="Product_Category" dataDxfId="48"/>
    <tableColumn id="12" xr3:uid="{FA8C43CF-0D72-4584-BE1A-98E43A742567}" name="Preferred_Channel" dataDxfId="47"/>
    <tableColumn id="13" xr3:uid="{FF51DB62-C8A6-4CBE-B64A-AEFB6DB814BC}" name="Segment" dataDxfId="46">
      <calculatedColumnFormula>IF(Table1[[#This Row],[Total_Spent]]&gt;= 150000,"Platinum",IF(Table1[[#This Row],[Total_Spent]]&gt;=80000,"Gold",IF(Table1[[#This Row],[Total_Spent]]&gt;=30000,"Silver","Bronze")))</calculatedColumnFormula>
    </tableColumn>
    <tableColumn id="14" xr3:uid="{9269978F-691D-44C0-BDBB-209B317896EE}" name="Customers in Segments" dataDxfId="45">
      <calculatedColumnFormula>COUNTIF(Table1[Membership],"Platinum")</calculatedColumnFormula>
    </tableColumn>
    <tableColumn id="15" xr3:uid="{E9DAA196-A318-405F-A2E6-E6AE18156582}" name="Countif" dataDxfId="44">
      <calculatedColumnFormula>COUNTIF(Table1[Membership],"Platinum")</calculatedColumnFormula>
    </tableColumn>
    <tableColumn id="16" xr3:uid="{F1C1D775-A40B-4DA4-9914-3920CC716407}" name="Customers above avg" dataDxfId="43">
      <calculatedColumnFormula>IF(Table1[[#This Row],[Total_Spent]]&gt;AVERAGE(Table1[Total_Spent]),"Yes","No")</calculatedColumnFormula>
    </tableColumn>
    <tableColumn id="17" xr3:uid="{6EBE772B-5071-4EE4-A1E3-045990CB0E7C}" name="Loyalty Score" dataDxfId="42">
      <calculatedColumnFormula>IF(Table1[[#This Row],[Total_Orders]]&gt;=20,"Champion",IF(Table1[[#This Row],[Total_Orders]]&gt;=10,"Loyal",IF(Table1[[#This Row],[Total_Orders]]&gt;=5,"Regular","New")))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0CA7-E19D-423C-B4AD-E6FADBB77EA7}">
  <dimension ref="A1:Q51"/>
  <sheetViews>
    <sheetView tabSelected="1" topLeftCell="C1" zoomScale="118" zoomScaleNormal="118" workbookViewId="0">
      <selection activeCell="I3" sqref="I3"/>
    </sheetView>
  </sheetViews>
  <sheetFormatPr defaultRowHeight="15" x14ac:dyDescent="0.25"/>
  <cols>
    <col min="1" max="1" width="19.140625" bestFit="1" customWidth="1"/>
    <col min="2" max="2" width="23" bestFit="1" customWidth="1"/>
    <col min="3" max="3" width="10.85546875" bestFit="1" customWidth="1"/>
    <col min="4" max="4" width="11.7109375" bestFit="1" customWidth="1"/>
    <col min="5" max="5" width="10.28515625" bestFit="1" customWidth="1"/>
    <col min="6" max="6" width="18.42578125" bestFit="1" customWidth="1"/>
    <col min="7" max="7" width="16.140625" bestFit="1" customWidth="1"/>
    <col min="8" max="8" width="19.28515625" bestFit="1" customWidth="1"/>
    <col min="9" max="9" width="18" bestFit="1" customWidth="1"/>
    <col min="10" max="10" width="27.140625" bestFit="1" customWidth="1"/>
    <col min="11" max="11" width="24.140625" bestFit="1" customWidth="1"/>
    <col min="12" max="12" width="25.28515625" bestFit="1" customWidth="1"/>
    <col min="13" max="13" width="15.140625" bestFit="1" customWidth="1"/>
    <col min="14" max="14" width="35.42578125" bestFit="1" customWidth="1"/>
    <col min="15" max="15" width="13.28515625" bestFit="1" customWidth="1"/>
    <col min="16" max="16" width="28.140625" bestFit="1" customWidth="1"/>
    <col min="17" max="17" width="19.28515625" bestFit="1" customWidth="1"/>
  </cols>
  <sheetData>
    <row r="1" spans="1:17" x14ac:dyDescent="0.25">
      <c r="A1" s="7" t="s">
        <v>0</v>
      </c>
      <c r="B1" s="8" t="s">
        <v>1</v>
      </c>
      <c r="C1" s="8" t="s">
        <v>2</v>
      </c>
      <c r="D1" s="8" t="s">
        <v>3</v>
      </c>
      <c r="E1" s="8" t="s">
        <v>4</v>
      </c>
      <c r="F1" s="8" t="s">
        <v>5</v>
      </c>
      <c r="G1" s="8" t="s">
        <v>6</v>
      </c>
      <c r="H1" s="8" t="s">
        <v>7</v>
      </c>
      <c r="I1" s="8" t="s">
        <v>8</v>
      </c>
      <c r="J1" s="8" t="s">
        <v>9</v>
      </c>
      <c r="K1" s="8" t="s">
        <v>10</v>
      </c>
      <c r="L1" s="9" t="s">
        <v>11</v>
      </c>
      <c r="M1" s="8" t="s">
        <v>234</v>
      </c>
      <c r="N1" s="8" t="s">
        <v>235</v>
      </c>
      <c r="O1" s="8" t="s">
        <v>236</v>
      </c>
      <c r="P1" s="8" t="s">
        <v>239</v>
      </c>
      <c r="Q1" s="8" t="s">
        <v>244</v>
      </c>
    </row>
    <row r="2" spans="1:17" x14ac:dyDescent="0.25">
      <c r="A2" s="4" t="s">
        <v>153</v>
      </c>
      <c r="B2" s="2" t="s">
        <v>154</v>
      </c>
      <c r="C2" s="2" t="s">
        <v>75</v>
      </c>
      <c r="D2" s="2" t="s">
        <v>76</v>
      </c>
      <c r="E2" s="2">
        <v>39</v>
      </c>
      <c r="F2" s="2" t="s">
        <v>41</v>
      </c>
      <c r="G2" s="2" t="s">
        <v>155</v>
      </c>
      <c r="H2" s="2">
        <v>30</v>
      </c>
      <c r="I2" s="2">
        <v>455630</v>
      </c>
      <c r="J2" s="2" t="s">
        <v>156</v>
      </c>
      <c r="K2" s="2" t="s">
        <v>36</v>
      </c>
      <c r="L2" s="6" t="s">
        <v>29</v>
      </c>
      <c r="M2" s="13" t="str">
        <f>IF(Table1[[#This Row],[Total_Spent]]&gt;= 150000,"Platinum",IF(Table1[[#This Row],[Total_Spent]]&gt;=80000,"Gold",IF(Table1[[#This Row],[Total_Spent]]&gt;=30000,"Silver","Bronze")))</f>
        <v>Platinum</v>
      </c>
      <c r="N2" s="13"/>
      <c r="O2" s="14"/>
      <c r="P2" s="14" t="str">
        <f>IF(Table1[[#This Row],[Total_Spent]]&gt;AVERAGE(Table1[Total_Spent]),"Yes","No")</f>
        <v>Yes</v>
      </c>
      <c r="Q2" s="14" t="str">
        <f>IF(Table1[[#This Row],[Total_Orders]]&gt;=20,"Champion",IF(Table1[[#This Row],[Total_Orders]]&gt;=10,"Loyal",IF(Table1[[#This Row],[Total_Orders]]&gt;=5,"Regular","New")))</f>
        <v>Champion</v>
      </c>
    </row>
    <row r="3" spans="1:17" x14ac:dyDescent="0.25">
      <c r="A3" s="3" t="s">
        <v>190</v>
      </c>
      <c r="B3" s="1" t="s">
        <v>191</v>
      </c>
      <c r="C3" s="1" t="s">
        <v>23</v>
      </c>
      <c r="D3" s="1" t="s">
        <v>24</v>
      </c>
      <c r="E3" s="1">
        <v>40</v>
      </c>
      <c r="F3" s="1" t="s">
        <v>41</v>
      </c>
      <c r="G3" s="1" t="s">
        <v>192</v>
      </c>
      <c r="H3" s="1">
        <v>36</v>
      </c>
      <c r="I3" s="1">
        <v>369729</v>
      </c>
      <c r="J3" s="1" t="s">
        <v>193</v>
      </c>
      <c r="K3" s="1" t="s">
        <v>36</v>
      </c>
      <c r="L3" s="5" t="s">
        <v>29</v>
      </c>
      <c r="M3" s="2" t="str">
        <f>IF(Table1[[#This Row],[Total_Spent]]&gt;= 150000,"Platinum",IF(Table1[[#This Row],[Total_Spent]]&gt;=80000,"Gold",IF(Table1[[#This Row],[Total_Spent]]&gt;=30000,"Silver","Bronze")))</f>
        <v>Platinum</v>
      </c>
      <c r="N3" s="2"/>
      <c r="O3" s="13"/>
      <c r="P3" s="14" t="str">
        <f>IF(Table1[[#This Row],[Total_Spent]]&gt;AVERAGE(Table1[Total_Spent]),"Yes","No")</f>
        <v>Yes</v>
      </c>
      <c r="Q3" s="14" t="str">
        <f>IF(Table1[[#This Row],[Total_Orders]]&gt;=20,"Champion",IF(Table1[[#This Row],[Total_Orders]]&gt;=10,"Loyal",IF(Table1[[#This Row],[Total_Orders]]&gt;=5,"Regular","New")))</f>
        <v>Champion</v>
      </c>
    </row>
    <row r="4" spans="1:17" x14ac:dyDescent="0.25">
      <c r="A4" s="3" t="s">
        <v>55</v>
      </c>
      <c r="B4" s="1" t="s">
        <v>56</v>
      </c>
      <c r="C4" s="1" t="s">
        <v>57</v>
      </c>
      <c r="D4" s="1" t="s">
        <v>58</v>
      </c>
      <c r="E4" s="1">
        <v>23</v>
      </c>
      <c r="F4" s="1" t="s">
        <v>41</v>
      </c>
      <c r="G4" s="1" t="s">
        <v>59</v>
      </c>
      <c r="H4" s="1">
        <v>22</v>
      </c>
      <c r="I4" s="1">
        <v>369688</v>
      </c>
      <c r="J4" s="1" t="s">
        <v>60</v>
      </c>
      <c r="K4" s="1" t="s">
        <v>43</v>
      </c>
      <c r="L4" s="5" t="s">
        <v>29</v>
      </c>
      <c r="M4" s="2" t="str">
        <f>IF(Table1[[#This Row],[Total_Spent]]&gt;= 150000,"Platinum",IF(Table1[[#This Row],[Total_Spent]]&gt;=80000,"Gold",IF(Table1[[#This Row],[Total_Spent]]&gt;=30000,"Silver","Bronze")))</f>
        <v>Platinum</v>
      </c>
      <c r="N4" s="2"/>
      <c r="O4" s="14"/>
      <c r="P4" s="14" t="str">
        <f>IF(Table1[[#This Row],[Total_Spent]]&gt;AVERAGE(Table1[Total_Spent]),"Yes","No")</f>
        <v>Yes</v>
      </c>
      <c r="Q4" s="14" t="str">
        <f>IF(Table1[[#This Row],[Total_Orders]]&gt;=20,"Champion",IF(Table1[[#This Row],[Total_Orders]]&gt;=10,"Loyal",IF(Table1[[#This Row],[Total_Orders]]&gt;=5,"Regular","New")))</f>
        <v>Champion</v>
      </c>
    </row>
    <row r="5" spans="1:17" x14ac:dyDescent="0.25">
      <c r="A5" s="3" t="s">
        <v>197</v>
      </c>
      <c r="B5" s="1" t="s">
        <v>198</v>
      </c>
      <c r="C5" s="1" t="s">
        <v>14</v>
      </c>
      <c r="D5" s="1" t="s">
        <v>15</v>
      </c>
      <c r="E5" s="1">
        <v>23</v>
      </c>
      <c r="F5" s="1" t="s">
        <v>41</v>
      </c>
      <c r="G5" s="1" t="s">
        <v>199</v>
      </c>
      <c r="H5" s="1">
        <v>48</v>
      </c>
      <c r="I5" s="1">
        <v>219077</v>
      </c>
      <c r="J5" s="1" t="s">
        <v>200</v>
      </c>
      <c r="K5" s="1" t="s">
        <v>79</v>
      </c>
      <c r="L5" s="5" t="s">
        <v>29</v>
      </c>
      <c r="M5" s="2" t="str">
        <f>IF(Table1[[#This Row],[Total_Spent]]&gt;= 150000,"Platinum",IF(Table1[[#This Row],[Total_Spent]]&gt;=80000,"Gold",IF(Table1[[#This Row],[Total_Spent]]&gt;=30000,"Silver","Bronze")))</f>
        <v>Platinum</v>
      </c>
      <c r="N5" s="2"/>
      <c r="O5" s="14"/>
      <c r="P5" s="14" t="str">
        <f>IF(Table1[[#This Row],[Total_Spent]]&gt;AVERAGE(Table1[Total_Spent]),"Yes","No")</f>
        <v>Yes</v>
      </c>
      <c r="Q5" s="14" t="str">
        <f>IF(Table1[[#This Row],[Total_Orders]]&gt;=20,"Champion",IF(Table1[[#This Row],[Total_Orders]]&gt;=10,"Loyal",IF(Table1[[#This Row],[Total_Orders]]&gt;=5,"Regular","New")))</f>
        <v>Champion</v>
      </c>
    </row>
    <row r="6" spans="1:17" x14ac:dyDescent="0.25">
      <c r="A6" s="4" t="s">
        <v>37</v>
      </c>
      <c r="B6" s="2" t="s">
        <v>38</v>
      </c>
      <c r="C6" s="2" t="s">
        <v>39</v>
      </c>
      <c r="D6" s="2" t="s">
        <v>40</v>
      </c>
      <c r="E6" s="2">
        <v>55</v>
      </c>
      <c r="F6" s="2" t="s">
        <v>41</v>
      </c>
      <c r="G6" s="2" t="s">
        <v>42</v>
      </c>
      <c r="H6" s="2">
        <v>35</v>
      </c>
      <c r="I6" s="2">
        <v>196033</v>
      </c>
      <c r="J6" s="2" t="s">
        <v>34</v>
      </c>
      <c r="K6" s="2" t="s">
        <v>43</v>
      </c>
      <c r="L6" s="6" t="s">
        <v>44</v>
      </c>
      <c r="M6" s="2" t="str">
        <f>IF(Table1[[#This Row],[Total_Spent]]&gt;= 150000,"Platinum",IF(Table1[[#This Row],[Total_Spent]]&gt;=80000,"Gold",IF(Table1[[#This Row],[Total_Spent]]&gt;=30000,"Silver","Bronze")))</f>
        <v>Platinum</v>
      </c>
      <c r="N6" s="2" t="s">
        <v>25</v>
      </c>
      <c r="O6" s="14">
        <f>COUNTIF(Table1[Membership],"Bronze")</f>
        <v>18</v>
      </c>
      <c r="P6" s="14" t="str">
        <f>IF(Table1[[#This Row],[Total_Spent]]&gt;AVERAGE(Table1[Total_Spent]),"Yes","No")</f>
        <v>Yes</v>
      </c>
      <c r="Q6" s="14" t="str">
        <f>IF(Table1[[#This Row],[Total_Orders]]&gt;=20,"Champion",IF(Table1[[#This Row],[Total_Orders]]&gt;=10,"Loyal",IF(Table1[[#This Row],[Total_Orders]]&gt;=5,"Regular","New")))</f>
        <v>Champion</v>
      </c>
    </row>
    <row r="7" spans="1:17" x14ac:dyDescent="0.25">
      <c r="A7" s="3" t="s">
        <v>45</v>
      </c>
      <c r="B7" s="1" t="s">
        <v>46</v>
      </c>
      <c r="C7" s="1" t="s">
        <v>47</v>
      </c>
      <c r="D7" s="1" t="s">
        <v>24</v>
      </c>
      <c r="E7" s="1">
        <v>35</v>
      </c>
      <c r="F7" s="1" t="s">
        <v>41</v>
      </c>
      <c r="G7" s="1" t="s">
        <v>48</v>
      </c>
      <c r="H7" s="1">
        <v>34</v>
      </c>
      <c r="I7" s="1">
        <v>192371</v>
      </c>
      <c r="J7" s="1" t="s">
        <v>49</v>
      </c>
      <c r="K7" s="1" t="s">
        <v>28</v>
      </c>
      <c r="L7" s="5" t="s">
        <v>44</v>
      </c>
      <c r="M7" s="2" t="str">
        <f>IF(Table1[[#This Row],[Total_Spent]]&gt;= 150000,"Platinum",IF(Table1[[#This Row],[Total_Spent]]&gt;=80000,"Gold",IF(Table1[[#This Row],[Total_Spent]]&gt;=30000,"Silver","Bronze")))</f>
        <v>Platinum</v>
      </c>
      <c r="N7" s="2"/>
      <c r="O7" s="14"/>
      <c r="P7" s="14" t="str">
        <f>IF(Table1[[#This Row],[Total_Spent]]&gt;AVERAGE(Table1[Total_Spent]),"Yes","No")</f>
        <v>Yes</v>
      </c>
      <c r="Q7" s="14" t="str">
        <f>IF(Table1[[#This Row],[Total_Orders]]&gt;=20,"Champion",IF(Table1[[#This Row],[Total_Orders]]&gt;=10,"Loyal",IF(Table1[[#This Row],[Total_Orders]]&gt;=5,"Regular","New")))</f>
        <v>Champion</v>
      </c>
    </row>
    <row r="8" spans="1:17" x14ac:dyDescent="0.25">
      <c r="A8" s="4" t="s">
        <v>84</v>
      </c>
      <c r="B8" s="2" t="s">
        <v>85</v>
      </c>
      <c r="C8" s="2" t="s">
        <v>23</v>
      </c>
      <c r="D8" s="2" t="s">
        <v>24</v>
      </c>
      <c r="E8" s="2">
        <v>40</v>
      </c>
      <c r="F8" s="2" t="s">
        <v>41</v>
      </c>
      <c r="G8" s="2" t="s">
        <v>86</v>
      </c>
      <c r="H8" s="2">
        <v>30</v>
      </c>
      <c r="I8" s="2">
        <v>174996</v>
      </c>
      <c r="J8" s="2" t="s">
        <v>87</v>
      </c>
      <c r="K8" s="2" t="s">
        <v>19</v>
      </c>
      <c r="L8" s="6" t="s">
        <v>44</v>
      </c>
      <c r="M8" s="2" t="str">
        <f>IF(Table1[[#This Row],[Total_Spent]]&gt;= 150000,"Platinum",IF(Table1[[#This Row],[Total_Spent]]&gt;=80000,"Gold",IF(Table1[[#This Row],[Total_Spent]]&gt;=30000,"Silver","Bronze")))</f>
        <v>Platinum</v>
      </c>
      <c r="N8" s="2" t="s">
        <v>25</v>
      </c>
      <c r="O8" s="14">
        <f>SUMIF(Table1[Membership],"Bronze",Table1[Total_Spent])</f>
        <v>345748</v>
      </c>
      <c r="P8" s="14" t="str">
        <f>IF(Table1[[#This Row],[Total_Spent]]&gt;AVERAGE(Table1[Total_Spent]),"Yes","No")</f>
        <v>Yes</v>
      </c>
      <c r="Q8" s="14" t="str">
        <f>IF(Table1[[#This Row],[Total_Orders]]&gt;=20,"Champion",IF(Table1[[#This Row],[Total_Orders]]&gt;=10,"Loyal",IF(Table1[[#This Row],[Total_Orders]]&gt;=5,"Regular","New")))</f>
        <v>Champion</v>
      </c>
    </row>
    <row r="9" spans="1:17" x14ac:dyDescent="0.25">
      <c r="A9" s="4" t="s">
        <v>176</v>
      </c>
      <c r="B9" s="2" t="s">
        <v>177</v>
      </c>
      <c r="C9" s="2" t="s">
        <v>63</v>
      </c>
      <c r="D9" s="2" t="s">
        <v>64</v>
      </c>
      <c r="E9" s="2">
        <v>29</v>
      </c>
      <c r="F9" s="2" t="s">
        <v>150</v>
      </c>
      <c r="G9" s="2" t="s">
        <v>59</v>
      </c>
      <c r="H9" s="2">
        <v>10</v>
      </c>
      <c r="I9" s="2">
        <v>148320</v>
      </c>
      <c r="J9" s="2" t="s">
        <v>87</v>
      </c>
      <c r="K9" s="2" t="s">
        <v>43</v>
      </c>
      <c r="L9" s="6" t="s">
        <v>29</v>
      </c>
      <c r="M9" s="2" t="str">
        <f>IF(Table1[[#This Row],[Total_Spent]]&gt;= 150000,"Platinum",IF(Table1[[#This Row],[Total_Spent]]&gt;=80000,"Gold",IF(Table1[[#This Row],[Total_Spent]]&gt;=30000,"Silver","Bronze")))</f>
        <v>Gold</v>
      </c>
      <c r="N9" s="13"/>
      <c r="O9" s="14"/>
      <c r="P9" s="14" t="str">
        <f>IF(Table1[[#This Row],[Total_Spent]]&gt;AVERAGE(Table1[Total_Spent]),"Yes","No")</f>
        <v>Yes</v>
      </c>
      <c r="Q9" s="14" t="str">
        <f>IF(Table1[[#This Row],[Total_Orders]]&gt;=20,"Champion",IF(Table1[[#This Row],[Total_Orders]]&gt;=10,"Loyal",IF(Table1[[#This Row],[Total_Orders]]&gt;=5,"Regular","New")))</f>
        <v>Loyal</v>
      </c>
    </row>
    <row r="10" spans="1:17" x14ac:dyDescent="0.25">
      <c r="A10" s="4" t="s">
        <v>230</v>
      </c>
      <c r="B10" s="2" t="s">
        <v>231</v>
      </c>
      <c r="C10" s="2" t="s">
        <v>39</v>
      </c>
      <c r="D10" s="2" t="s">
        <v>40</v>
      </c>
      <c r="E10" s="2">
        <v>27</v>
      </c>
      <c r="F10" s="2" t="s">
        <v>150</v>
      </c>
      <c r="G10" s="2" t="s">
        <v>232</v>
      </c>
      <c r="H10" s="2">
        <v>10</v>
      </c>
      <c r="I10" s="2">
        <v>129753</v>
      </c>
      <c r="J10" s="2" t="s">
        <v>233</v>
      </c>
      <c r="K10" s="2" t="s">
        <v>19</v>
      </c>
      <c r="L10" s="6" t="s">
        <v>29</v>
      </c>
      <c r="M10" s="2" t="str">
        <f>IF(Table1[[#This Row],[Total_Spent]]&gt;= 150000,"Platinum",IF(Table1[[#This Row],[Total_Spent]]&gt;=80000,"Gold",IF(Table1[[#This Row],[Total_Spent]]&gt;=30000,"Silver","Bronze")))</f>
        <v>Gold</v>
      </c>
      <c r="N10" s="13"/>
      <c r="O10" s="14"/>
      <c r="P10" s="14" t="str">
        <f>IF(Table1[[#This Row],[Total_Spent]]&gt;AVERAGE(Table1[Total_Spent]),"Yes","No")</f>
        <v>Yes</v>
      </c>
      <c r="Q10" s="14" t="str">
        <f>IF(Table1[[#This Row],[Total_Orders]]&gt;=20,"Champion",IF(Table1[[#This Row],[Total_Orders]]&gt;=10,"Loyal",IF(Table1[[#This Row],[Total_Orders]]&gt;=5,"Regular","New")))</f>
        <v>Loyal</v>
      </c>
    </row>
    <row r="11" spans="1:17" x14ac:dyDescent="0.25">
      <c r="A11" s="3" t="s">
        <v>173</v>
      </c>
      <c r="B11" s="1" t="s">
        <v>174</v>
      </c>
      <c r="C11" s="1" t="s">
        <v>14</v>
      </c>
      <c r="D11" s="1" t="s">
        <v>15</v>
      </c>
      <c r="E11" s="1">
        <v>36</v>
      </c>
      <c r="F11" s="1" t="s">
        <v>150</v>
      </c>
      <c r="G11" s="1" t="s">
        <v>175</v>
      </c>
      <c r="H11" s="1">
        <v>15</v>
      </c>
      <c r="I11" s="1">
        <v>101116</v>
      </c>
      <c r="J11" s="1" t="s">
        <v>82</v>
      </c>
      <c r="K11" s="1" t="s">
        <v>19</v>
      </c>
      <c r="L11" s="5" t="s">
        <v>29</v>
      </c>
      <c r="M11" s="2" t="str">
        <f>IF(Table1[[#This Row],[Total_Spent]]&gt;= 150000,"Platinum",IF(Table1[[#This Row],[Total_Spent]]&gt;=80000,"Gold",IF(Table1[[#This Row],[Total_Spent]]&gt;=30000,"Silver","Bronze")))</f>
        <v>Gold</v>
      </c>
      <c r="N11" s="2"/>
      <c r="O11" s="14"/>
      <c r="P11" s="14" t="str">
        <f>IF(Table1[[#This Row],[Total_Spent]]&gt;AVERAGE(Table1[Total_Spent]),"Yes","No")</f>
        <v>Yes</v>
      </c>
      <c r="Q11" s="14" t="str">
        <f>IF(Table1[[#This Row],[Total_Orders]]&gt;=20,"Champion",IF(Table1[[#This Row],[Total_Orders]]&gt;=10,"Loyal",IF(Table1[[#This Row],[Total_Orders]]&gt;=5,"Regular","New")))</f>
        <v>Loyal</v>
      </c>
    </row>
    <row r="12" spans="1:17" x14ac:dyDescent="0.25">
      <c r="A12" s="3" t="s">
        <v>148</v>
      </c>
      <c r="B12" s="1" t="s">
        <v>149</v>
      </c>
      <c r="C12" s="1" t="s">
        <v>47</v>
      </c>
      <c r="D12" s="1" t="s">
        <v>24</v>
      </c>
      <c r="E12" s="1">
        <v>51</v>
      </c>
      <c r="F12" s="1" t="s">
        <v>150</v>
      </c>
      <c r="G12" s="1" t="s">
        <v>151</v>
      </c>
      <c r="H12" s="1">
        <v>15</v>
      </c>
      <c r="I12" s="1">
        <v>95055</v>
      </c>
      <c r="J12" s="1" t="s">
        <v>152</v>
      </c>
      <c r="K12" s="1" t="s">
        <v>79</v>
      </c>
      <c r="L12" s="5" t="s">
        <v>20</v>
      </c>
      <c r="M12" s="2" t="str">
        <f>IF(Table1[[#This Row],[Total_Spent]]&gt;= 150000,"Platinum",IF(Table1[[#This Row],[Total_Spent]]&gt;=80000,"Gold",IF(Table1[[#This Row],[Total_Spent]]&gt;=30000,"Silver","Bronze")))</f>
        <v>Gold</v>
      </c>
      <c r="N12" s="13"/>
      <c r="O12" s="14"/>
      <c r="P12" s="14" t="str">
        <f>IF(Table1[[#This Row],[Total_Spent]]&gt;AVERAGE(Table1[Total_Spent]),"Yes","No")</f>
        <v>Yes</v>
      </c>
      <c r="Q12" s="14" t="str">
        <f>IF(Table1[[#This Row],[Total_Orders]]&gt;=20,"Champion",IF(Table1[[#This Row],[Total_Orders]]&gt;=10,"Loyal",IF(Table1[[#This Row],[Total_Orders]]&gt;=5,"Regular","New")))</f>
        <v>Loyal</v>
      </c>
    </row>
    <row r="13" spans="1:17" x14ac:dyDescent="0.25">
      <c r="A13" s="3" t="s">
        <v>205</v>
      </c>
      <c r="B13" s="1" t="s">
        <v>206</v>
      </c>
      <c r="C13" s="1" t="s">
        <v>159</v>
      </c>
      <c r="D13" s="1" t="s">
        <v>24</v>
      </c>
      <c r="E13" s="1">
        <v>49</v>
      </c>
      <c r="F13" s="1" t="s">
        <v>150</v>
      </c>
      <c r="G13" s="1" t="s">
        <v>59</v>
      </c>
      <c r="H13" s="1">
        <v>15</v>
      </c>
      <c r="I13" s="1">
        <v>91926</v>
      </c>
      <c r="J13" s="1" t="s">
        <v>207</v>
      </c>
      <c r="K13" s="1" t="s">
        <v>36</v>
      </c>
      <c r="L13" s="5" t="s">
        <v>20</v>
      </c>
      <c r="M13" s="2" t="str">
        <f>IF(Table1[[#This Row],[Total_Spent]]&gt;= 150000,"Platinum",IF(Table1[[#This Row],[Total_Spent]]&gt;=80000,"Gold",IF(Table1[[#This Row],[Total_Spent]]&gt;=30000,"Silver","Bronze")))</f>
        <v>Gold</v>
      </c>
      <c r="N13" s="2"/>
      <c r="O13" s="14" t="str">
        <f>INDEX(Table1[Customer_Name],MATCH(LARGE(Table1[Total_Spent],6),Table1[Total_Spent],0))</f>
        <v>Mohit Gupta</v>
      </c>
      <c r="P13" s="14" t="str">
        <f>IF(Table1[[#This Row],[Total_Spent]]&gt;AVERAGE(Table1[Total_Spent]),"Yes","No")</f>
        <v>Yes</v>
      </c>
      <c r="Q13" s="14" t="str">
        <f>IF(Table1[[#This Row],[Total_Orders]]&gt;=20,"Champion",IF(Table1[[#This Row],[Total_Orders]]&gt;=10,"Loyal",IF(Table1[[#This Row],[Total_Orders]]&gt;=5,"Regular","New")))</f>
        <v>Loyal</v>
      </c>
    </row>
    <row r="14" spans="1:17" x14ac:dyDescent="0.25">
      <c r="A14" s="4" t="s">
        <v>216</v>
      </c>
      <c r="B14" s="2" t="s">
        <v>217</v>
      </c>
      <c r="C14" s="2" t="s">
        <v>47</v>
      </c>
      <c r="D14" s="2" t="s">
        <v>24</v>
      </c>
      <c r="E14" s="2">
        <v>48</v>
      </c>
      <c r="F14" s="2" t="s">
        <v>150</v>
      </c>
      <c r="G14" s="2" t="s">
        <v>218</v>
      </c>
      <c r="H14" s="2">
        <v>13</v>
      </c>
      <c r="I14" s="2">
        <v>89500</v>
      </c>
      <c r="J14" s="2" t="s">
        <v>219</v>
      </c>
      <c r="K14" s="2" t="s">
        <v>28</v>
      </c>
      <c r="L14" s="6" t="s">
        <v>44</v>
      </c>
      <c r="M14" s="2" t="str">
        <f>IF(Table1[[#This Row],[Total_Spent]]&gt;= 150000,"Platinum",IF(Table1[[#This Row],[Total_Spent]]&gt;=80000,"Gold",IF(Table1[[#This Row],[Total_Spent]]&gt;=30000,"Silver","Bronze")))</f>
        <v>Gold</v>
      </c>
      <c r="N14" s="2"/>
      <c r="O14" s="14"/>
      <c r="P14" s="14" t="str">
        <f>IF(Table1[[#This Row],[Total_Spent]]&gt;AVERAGE(Table1[Total_Spent]),"Yes","No")</f>
        <v>Yes</v>
      </c>
      <c r="Q14" s="14" t="str">
        <f>IF(Table1[[#This Row],[Total_Orders]]&gt;=20,"Champion",IF(Table1[[#This Row],[Total_Orders]]&gt;=10,"Loyal",IF(Table1[[#This Row],[Total_Orders]]&gt;=5,"Regular","New")))</f>
        <v>Loyal</v>
      </c>
    </row>
    <row r="15" spans="1:17" x14ac:dyDescent="0.25">
      <c r="A15" s="3" t="s">
        <v>220</v>
      </c>
      <c r="B15" s="1" t="s">
        <v>221</v>
      </c>
      <c r="C15" s="1" t="s">
        <v>144</v>
      </c>
      <c r="D15" s="1" t="s">
        <v>145</v>
      </c>
      <c r="E15" s="1">
        <v>23</v>
      </c>
      <c r="F15" s="1" t="s">
        <v>150</v>
      </c>
      <c r="G15" s="1" t="s">
        <v>222</v>
      </c>
      <c r="H15" s="1">
        <v>15</v>
      </c>
      <c r="I15" s="1">
        <v>88146</v>
      </c>
      <c r="J15" s="1" t="s">
        <v>223</v>
      </c>
      <c r="K15" s="1" t="s">
        <v>79</v>
      </c>
      <c r="L15" s="5" t="s">
        <v>29</v>
      </c>
      <c r="M15" s="2" t="str">
        <f>IF(Table1[[#This Row],[Total_Spent]]&gt;= 150000,"Platinum",IF(Table1[[#This Row],[Total_Spent]]&gt;=80000,"Gold",IF(Table1[[#This Row],[Total_Spent]]&gt;=30000,"Silver","Bronze")))</f>
        <v>Gold</v>
      </c>
      <c r="N15" s="2"/>
      <c r="O15" s="14"/>
      <c r="P15" s="14" t="str">
        <f>IF(Table1[[#This Row],[Total_Spent]]&gt;AVERAGE(Table1[Total_Spent]),"Yes","No")</f>
        <v>Yes</v>
      </c>
      <c r="Q15" s="14" t="str">
        <f>IF(Table1[[#This Row],[Total_Orders]]&gt;=20,"Champion",IF(Table1[[#This Row],[Total_Orders]]&gt;=10,"Loyal",IF(Table1[[#This Row],[Total_Orders]]&gt;=5,"Regular","New")))</f>
        <v>Loyal</v>
      </c>
    </row>
    <row r="16" spans="1:17" x14ac:dyDescent="0.25">
      <c r="A16" s="3" t="s">
        <v>184</v>
      </c>
      <c r="B16" s="1" t="s">
        <v>185</v>
      </c>
      <c r="C16" s="1" t="s">
        <v>63</v>
      </c>
      <c r="D16" s="1" t="s">
        <v>64</v>
      </c>
      <c r="E16" s="1">
        <v>49</v>
      </c>
      <c r="F16" s="1" t="s">
        <v>150</v>
      </c>
      <c r="G16" s="1" t="s">
        <v>186</v>
      </c>
      <c r="H16" s="1">
        <v>15</v>
      </c>
      <c r="I16" s="1">
        <v>85281</v>
      </c>
      <c r="J16" s="1" t="s">
        <v>187</v>
      </c>
      <c r="K16" s="1" t="s">
        <v>79</v>
      </c>
      <c r="L16" s="5" t="s">
        <v>44</v>
      </c>
      <c r="M16" s="2" t="str">
        <f>IF(Table1[[#This Row],[Total_Spent]]&gt;= 150000,"Platinum",IF(Table1[[#This Row],[Total_Spent]]&gt;=80000,"Gold",IF(Table1[[#This Row],[Total_Spent]]&gt;=30000,"Silver","Bronze")))</f>
        <v>Gold</v>
      </c>
      <c r="N16" s="13"/>
      <c r="O16" s="14" t="str">
        <f>INDEX(Table1[Customer_Name],MATCH(LARGE(Table1[Total_Spent],2),Table1[Total_Spent],0))</f>
        <v>Tarun Sharma</v>
      </c>
      <c r="P16" s="14" t="str">
        <f>IF(Table1[[#This Row],[Total_Spent]]&gt;AVERAGE(Table1[Total_Spent]),"Yes","No")</f>
        <v>Yes</v>
      </c>
      <c r="Q16" s="14" t="str">
        <f>IF(Table1[[#This Row],[Total_Orders]]&gt;=20,"Champion",IF(Table1[[#This Row],[Total_Orders]]&gt;=10,"Loyal",IF(Table1[[#This Row],[Total_Orders]]&gt;=5,"Regular","New")))</f>
        <v>Loyal</v>
      </c>
    </row>
    <row r="17" spans="1:17" x14ac:dyDescent="0.25">
      <c r="A17" s="4" t="s">
        <v>201</v>
      </c>
      <c r="B17" s="2" t="s">
        <v>202</v>
      </c>
      <c r="C17" s="2" t="s">
        <v>103</v>
      </c>
      <c r="D17" s="2" t="s">
        <v>104</v>
      </c>
      <c r="E17" s="2">
        <v>49</v>
      </c>
      <c r="F17" s="2" t="s">
        <v>150</v>
      </c>
      <c r="G17" s="2" t="s">
        <v>203</v>
      </c>
      <c r="H17" s="2">
        <v>18</v>
      </c>
      <c r="I17" s="2">
        <v>84666</v>
      </c>
      <c r="J17" s="2" t="s">
        <v>204</v>
      </c>
      <c r="K17" s="2" t="s">
        <v>43</v>
      </c>
      <c r="L17" s="6" t="s">
        <v>29</v>
      </c>
      <c r="M17" s="2" t="str">
        <f>IF(Table1[[#This Row],[Total_Spent]]&gt;= 150000,"Platinum",IF(Table1[[#This Row],[Total_Spent]]&gt;=80000,"Gold",IF(Table1[[#This Row],[Total_Spent]]&gt;=30000,"Silver","Bronze")))</f>
        <v>Gold</v>
      </c>
      <c r="N17" s="13"/>
      <c r="O17" s="14"/>
      <c r="P17" s="14" t="str">
        <f>IF(Table1[[#This Row],[Total_Spent]]&gt;AVERAGE(Table1[Total_Spent]),"Yes","No")</f>
        <v>Yes</v>
      </c>
      <c r="Q17" s="14" t="str">
        <f>IF(Table1[[#This Row],[Total_Orders]]&gt;=20,"Champion",IF(Table1[[#This Row],[Total_Orders]]&gt;=10,"Loyal",IF(Table1[[#This Row],[Total_Orders]]&gt;=5,"Regular","New")))</f>
        <v>Loyal</v>
      </c>
    </row>
    <row r="18" spans="1:17" x14ac:dyDescent="0.25">
      <c r="A18" s="4" t="s">
        <v>50</v>
      </c>
      <c r="B18" s="2" t="s">
        <v>51</v>
      </c>
      <c r="C18" s="2" t="s">
        <v>52</v>
      </c>
      <c r="D18" s="2" t="s">
        <v>52</v>
      </c>
      <c r="E18" s="2">
        <v>35</v>
      </c>
      <c r="F18" s="2" t="s">
        <v>16</v>
      </c>
      <c r="G18" s="2" t="s">
        <v>53</v>
      </c>
      <c r="H18" s="2">
        <v>8</v>
      </c>
      <c r="I18" s="2">
        <v>78988</v>
      </c>
      <c r="J18" s="2" t="s">
        <v>54</v>
      </c>
      <c r="K18" s="2" t="s">
        <v>28</v>
      </c>
      <c r="L18" s="6" t="s">
        <v>20</v>
      </c>
      <c r="M18" s="2" t="str">
        <f>IF(Table1[[#This Row],[Total_Spent]]&gt;= 150000,"Platinum",IF(Table1[[#This Row],[Total_Spent]]&gt;=80000,"Gold",IF(Table1[[#This Row],[Total_Spent]]&gt;=30000,"Silver","Bronze")))</f>
        <v>Silver</v>
      </c>
      <c r="N18" s="2"/>
      <c r="O18" s="14" t="str">
        <f>INDEX(Table1[Customer_Name],MATCH(LARGE(Table1[Total_Spent],4),Table1[Total_Spent],0))</f>
        <v>Anand Verma</v>
      </c>
      <c r="P18" s="14" t="str">
        <f>IF(Table1[[#This Row],[Total_Spent]]&gt;AVERAGE(Table1[Total_Spent]),"Yes","No")</f>
        <v>No</v>
      </c>
      <c r="Q18" s="14" t="str">
        <f>IF(Table1[[#This Row],[Total_Orders]]&gt;=20,"Champion",IF(Table1[[#This Row],[Total_Orders]]&gt;=10,"Loyal",IF(Table1[[#This Row],[Total_Orders]]&gt;=5,"Regular","New")))</f>
        <v>Regular</v>
      </c>
    </row>
    <row r="19" spans="1:17" x14ac:dyDescent="0.25">
      <c r="A19" s="3" t="s">
        <v>130</v>
      </c>
      <c r="B19" s="1" t="s">
        <v>131</v>
      </c>
      <c r="C19" s="1" t="s">
        <v>52</v>
      </c>
      <c r="D19" s="1" t="s">
        <v>52</v>
      </c>
      <c r="E19" s="1">
        <v>45</v>
      </c>
      <c r="F19" s="1" t="s">
        <v>16</v>
      </c>
      <c r="G19" s="1" t="s">
        <v>132</v>
      </c>
      <c r="H19" s="1">
        <v>9</v>
      </c>
      <c r="I19" s="1">
        <v>76590</v>
      </c>
      <c r="J19" s="1" t="s">
        <v>133</v>
      </c>
      <c r="K19" s="1" t="s">
        <v>36</v>
      </c>
      <c r="L19" s="5" t="s">
        <v>29</v>
      </c>
      <c r="M19" s="2" t="str">
        <f>IF(Table1[[#This Row],[Total_Spent]]&gt;= 150000,"Platinum",IF(Table1[[#This Row],[Total_Spent]]&gt;=80000,"Gold",IF(Table1[[#This Row],[Total_Spent]]&gt;=30000,"Silver","Bronze")))</f>
        <v>Silver</v>
      </c>
      <c r="N19" s="2"/>
      <c r="O19" s="14"/>
      <c r="P19" s="14" t="str">
        <f>IF(Table1[[#This Row],[Total_Spent]]&gt;AVERAGE(Table1[Total_Spent]),"Yes","No")</f>
        <v>No</v>
      </c>
      <c r="Q19" s="14" t="str">
        <f>IF(Table1[[#This Row],[Total_Orders]]&gt;=20,"Champion",IF(Table1[[#This Row],[Total_Orders]]&gt;=10,"Loyal",IF(Table1[[#This Row],[Total_Orders]]&gt;=5,"Regular","New")))</f>
        <v>Regular</v>
      </c>
    </row>
    <row r="20" spans="1:17" x14ac:dyDescent="0.25">
      <c r="A20" s="4" t="s">
        <v>194</v>
      </c>
      <c r="B20" s="2" t="s">
        <v>195</v>
      </c>
      <c r="C20" s="2" t="s">
        <v>47</v>
      </c>
      <c r="D20" s="2" t="s">
        <v>24</v>
      </c>
      <c r="E20" s="2">
        <v>25</v>
      </c>
      <c r="F20" s="2" t="s">
        <v>16</v>
      </c>
      <c r="G20" s="2" t="s">
        <v>17</v>
      </c>
      <c r="H20" s="2">
        <v>7</v>
      </c>
      <c r="I20" s="2">
        <v>72454</v>
      </c>
      <c r="J20" s="2" t="s">
        <v>196</v>
      </c>
      <c r="K20" s="2" t="s">
        <v>28</v>
      </c>
      <c r="L20" s="6" t="s">
        <v>29</v>
      </c>
      <c r="M20" s="2" t="str">
        <f>IF(Table1[[#This Row],[Total_Spent]]&gt;= 150000,"Platinum",IF(Table1[[#This Row],[Total_Spent]]&gt;=80000,"Gold",IF(Table1[[#This Row],[Total_Spent]]&gt;=30000,"Silver","Bronze")))</f>
        <v>Silver</v>
      </c>
      <c r="N20" s="2"/>
      <c r="O20" s="14"/>
      <c r="P20" s="14" t="str">
        <f>IF(Table1[[#This Row],[Total_Spent]]&gt;AVERAGE(Table1[Total_Spent]),"Yes","No")</f>
        <v>No</v>
      </c>
      <c r="Q20" s="14" t="str">
        <f>IF(Table1[[#This Row],[Total_Orders]]&gt;=20,"Champion",IF(Table1[[#This Row],[Total_Orders]]&gt;=10,"Loyal",IF(Table1[[#This Row],[Total_Orders]]&gt;=5,"Regular","New")))</f>
        <v>Regular</v>
      </c>
    </row>
    <row r="21" spans="1:17" x14ac:dyDescent="0.25">
      <c r="A21" s="3" t="s">
        <v>227</v>
      </c>
      <c r="B21" s="1" t="s">
        <v>228</v>
      </c>
      <c r="C21" s="1" t="s">
        <v>57</v>
      </c>
      <c r="D21" s="1" t="s">
        <v>58</v>
      </c>
      <c r="E21" s="1">
        <v>31</v>
      </c>
      <c r="F21" s="1" t="s">
        <v>16</v>
      </c>
      <c r="G21" s="1" t="s">
        <v>110</v>
      </c>
      <c r="H21" s="1">
        <v>7</v>
      </c>
      <c r="I21" s="1">
        <v>64790</v>
      </c>
      <c r="J21" s="1" t="s">
        <v>229</v>
      </c>
      <c r="K21" s="1" t="s">
        <v>43</v>
      </c>
      <c r="L21" s="5" t="s">
        <v>29</v>
      </c>
      <c r="M21" s="2" t="str">
        <f>IF(Table1[[#This Row],[Total_Spent]]&gt;= 150000,"Platinum",IF(Table1[[#This Row],[Total_Spent]]&gt;=80000,"Gold",IF(Table1[[#This Row],[Total_Spent]]&gt;=30000,"Silver","Bronze")))</f>
        <v>Silver</v>
      </c>
      <c r="N21" s="2"/>
      <c r="O21" s="14"/>
      <c r="P21" s="14" t="str">
        <f>IF(Table1[[#This Row],[Total_Spent]]&gt;AVERAGE(Table1[Total_Spent]),"Yes","No")</f>
        <v>No</v>
      </c>
      <c r="Q21" s="14" t="str">
        <f>IF(Table1[[#This Row],[Total_Orders]]&gt;=20,"Champion",IF(Table1[[#This Row],[Total_Orders]]&gt;=10,"Loyal",IF(Table1[[#This Row],[Total_Orders]]&gt;=5,"Regular","New")))</f>
        <v>Regular</v>
      </c>
    </row>
    <row r="22" spans="1:17" x14ac:dyDescent="0.25">
      <c r="A22" s="3" t="s">
        <v>80</v>
      </c>
      <c r="B22" s="1" t="s">
        <v>81</v>
      </c>
      <c r="C22" s="1" t="s">
        <v>57</v>
      </c>
      <c r="D22" s="1" t="s">
        <v>58</v>
      </c>
      <c r="E22" s="1">
        <v>35</v>
      </c>
      <c r="F22" s="1" t="s">
        <v>16</v>
      </c>
      <c r="G22" s="1" t="s">
        <v>82</v>
      </c>
      <c r="H22" s="1">
        <v>6</v>
      </c>
      <c r="I22" s="1">
        <v>62711</v>
      </c>
      <c r="J22" s="1" t="s">
        <v>83</v>
      </c>
      <c r="K22" s="1" t="s">
        <v>79</v>
      </c>
      <c r="L22" s="5" t="s">
        <v>29</v>
      </c>
      <c r="M22" s="2" t="str">
        <f>IF(Table1[[#This Row],[Total_Spent]]&gt;= 150000,"Platinum",IF(Table1[[#This Row],[Total_Spent]]&gt;=80000,"Gold",IF(Table1[[#This Row],[Total_Spent]]&gt;=30000,"Silver","Bronze")))</f>
        <v>Silver</v>
      </c>
      <c r="N22" s="2" t="s">
        <v>16</v>
      </c>
      <c r="O22" s="14">
        <f>SUMIF(Table1[Membership],"Silver",Table1[Total_Spent])</f>
        <v>828797</v>
      </c>
      <c r="P22" s="14" t="str">
        <f>IF(Table1[[#This Row],[Total_Spent]]&gt;AVERAGE(Table1[Total_Spent]),"Yes","No")</f>
        <v>No</v>
      </c>
      <c r="Q22" s="14" t="str">
        <f>IF(Table1[[#This Row],[Total_Orders]]&gt;=20,"Champion",IF(Table1[[#This Row],[Total_Orders]]&gt;=10,"Loyal",IF(Table1[[#This Row],[Total_Orders]]&gt;=5,"Regular","New")))</f>
        <v>Regular</v>
      </c>
    </row>
    <row r="23" spans="1:17" x14ac:dyDescent="0.25">
      <c r="A23" s="4" t="s">
        <v>142</v>
      </c>
      <c r="B23" s="2" t="s">
        <v>143</v>
      </c>
      <c r="C23" s="2" t="s">
        <v>144</v>
      </c>
      <c r="D23" s="2" t="s">
        <v>145</v>
      </c>
      <c r="E23" s="2">
        <v>46</v>
      </c>
      <c r="F23" s="2" t="s">
        <v>16</v>
      </c>
      <c r="G23" s="2" t="s">
        <v>146</v>
      </c>
      <c r="H23" s="2">
        <v>9</v>
      </c>
      <c r="I23" s="2">
        <v>61403</v>
      </c>
      <c r="J23" s="2" t="s">
        <v>147</v>
      </c>
      <c r="K23" s="2" t="s">
        <v>36</v>
      </c>
      <c r="L23" s="6" t="s">
        <v>29</v>
      </c>
      <c r="M23" s="2" t="str">
        <f>IF(Table1[[#This Row],[Total_Spent]]&gt;= 150000,"Platinum",IF(Table1[[#This Row],[Total_Spent]]&gt;=80000,"Gold",IF(Table1[[#This Row],[Total_Spent]]&gt;=30000,"Silver","Bronze")))</f>
        <v>Silver</v>
      </c>
      <c r="N23" s="2"/>
      <c r="O23" s="14"/>
      <c r="P23" s="14" t="str">
        <f>IF(Table1[[#This Row],[Total_Spent]]&gt;AVERAGE(Table1[Total_Spent]),"Yes","No")</f>
        <v>No</v>
      </c>
      <c r="Q23" s="14" t="str">
        <f>IF(Table1[[#This Row],[Total_Orders]]&gt;=20,"Champion",IF(Table1[[#This Row],[Total_Orders]]&gt;=10,"Loyal",IF(Table1[[#This Row],[Total_Orders]]&gt;=5,"Regular","New")))</f>
        <v>Regular</v>
      </c>
    </row>
    <row r="24" spans="1:17" x14ac:dyDescent="0.25">
      <c r="A24" s="4" t="s">
        <v>101</v>
      </c>
      <c r="B24" s="2" t="s">
        <v>102</v>
      </c>
      <c r="C24" s="2" t="s">
        <v>103</v>
      </c>
      <c r="D24" s="2" t="s">
        <v>104</v>
      </c>
      <c r="E24" s="2">
        <v>38</v>
      </c>
      <c r="F24" s="2" t="s">
        <v>16</v>
      </c>
      <c r="G24" s="2" t="s">
        <v>105</v>
      </c>
      <c r="H24" s="2">
        <v>10</v>
      </c>
      <c r="I24" s="2">
        <v>49204</v>
      </c>
      <c r="J24" s="2" t="s">
        <v>106</v>
      </c>
      <c r="K24" s="2" t="s">
        <v>19</v>
      </c>
      <c r="L24" s="6" t="s">
        <v>20</v>
      </c>
      <c r="M24" s="2" t="str">
        <f>IF(Table1[[#This Row],[Total_Spent]]&gt;= 150000,"Platinum",IF(Table1[[#This Row],[Total_Spent]]&gt;=80000,"Gold",IF(Table1[[#This Row],[Total_Spent]]&gt;=30000,"Silver","Bronze")))</f>
        <v>Silver</v>
      </c>
      <c r="N24" s="2" t="s">
        <v>41</v>
      </c>
      <c r="O24" s="14">
        <f>AVERAGEIF(Table1[Membership],"Platinum",Table1[Total_Spent])</f>
        <v>282503.42857142858</v>
      </c>
      <c r="P24" s="14" t="str">
        <f>IF(Table1[[#This Row],[Total_Spent]]&gt;AVERAGE(Table1[Total_Spent]),"Yes","No")</f>
        <v>No</v>
      </c>
      <c r="Q24" s="14" t="str">
        <f>IF(Table1[[#This Row],[Total_Orders]]&gt;=20,"Champion",IF(Table1[[#This Row],[Total_Orders]]&gt;=10,"Loyal",IF(Table1[[#This Row],[Total_Orders]]&gt;=5,"Regular","New")))</f>
        <v>Loyal</v>
      </c>
    </row>
    <row r="25" spans="1:17" x14ac:dyDescent="0.25">
      <c r="A25" s="4" t="s">
        <v>188</v>
      </c>
      <c r="B25" s="2" t="s">
        <v>189</v>
      </c>
      <c r="C25" s="2" t="s">
        <v>23</v>
      </c>
      <c r="D25" s="2" t="s">
        <v>24</v>
      </c>
      <c r="E25" s="2">
        <v>24</v>
      </c>
      <c r="F25" s="2" t="s">
        <v>16</v>
      </c>
      <c r="G25" s="2" t="s">
        <v>91</v>
      </c>
      <c r="H25" s="2">
        <v>9</v>
      </c>
      <c r="I25" s="2">
        <v>47738</v>
      </c>
      <c r="J25" s="2" t="s">
        <v>161</v>
      </c>
      <c r="K25" s="2" t="s">
        <v>36</v>
      </c>
      <c r="L25" s="6" t="s">
        <v>20</v>
      </c>
      <c r="M25" s="2" t="str">
        <f>IF(Table1[[#This Row],[Total_Spent]]&gt;= 150000,"Platinum",IF(Table1[[#This Row],[Total_Spent]]&gt;=80000,"Gold",IF(Table1[[#This Row],[Total_Spent]]&gt;=30000,"Silver","Bronze")))</f>
        <v>Silver</v>
      </c>
      <c r="N25" s="2"/>
      <c r="O25" s="14"/>
      <c r="P25" s="14" t="str">
        <f>IF(Table1[[#This Row],[Total_Spent]]&gt;AVERAGE(Table1[Total_Spent]),"Yes","No")</f>
        <v>No</v>
      </c>
      <c r="Q25" s="14" t="str">
        <f>IF(Table1[[#This Row],[Total_Orders]]&gt;=20,"Champion",IF(Table1[[#This Row],[Total_Orders]]&gt;=10,"Loyal",IF(Table1[[#This Row],[Total_Orders]]&gt;=5,"Regular","New")))</f>
        <v>Regular</v>
      </c>
    </row>
    <row r="26" spans="1:17" x14ac:dyDescent="0.25">
      <c r="A26" s="4" t="s">
        <v>208</v>
      </c>
      <c r="B26" s="2" t="s">
        <v>209</v>
      </c>
      <c r="C26" s="2" t="s">
        <v>159</v>
      </c>
      <c r="D26" s="2" t="s">
        <v>24</v>
      </c>
      <c r="E26" s="2">
        <v>28</v>
      </c>
      <c r="F26" s="2" t="s">
        <v>16</v>
      </c>
      <c r="G26" s="2" t="s">
        <v>210</v>
      </c>
      <c r="H26" s="2">
        <v>6</v>
      </c>
      <c r="I26" s="2">
        <v>43217</v>
      </c>
      <c r="J26" s="2" t="s">
        <v>211</v>
      </c>
      <c r="K26" s="2" t="s">
        <v>36</v>
      </c>
      <c r="L26" s="6" t="s">
        <v>29</v>
      </c>
      <c r="M26" s="2" t="str">
        <f>IF(Table1[[#This Row],[Total_Spent]]&gt;= 150000,"Platinum",IF(Table1[[#This Row],[Total_Spent]]&gt;=80000,"Gold",IF(Table1[[#This Row],[Total_Spent]]&gt;=30000,"Silver","Bronze")))</f>
        <v>Silver</v>
      </c>
      <c r="N26" s="2"/>
      <c r="O26" s="14" t="str">
        <f>INDEX(Table1[Customer_Name],MATCH(LARGE(Table1[Total_Spent],3),Table1[Total_Spent],0))</f>
        <v>Rahul Yadav</v>
      </c>
      <c r="P26" s="14" t="str">
        <f>IF(Table1[[#This Row],[Total_Spent]]&gt;AVERAGE(Table1[Total_Spent]),"Yes","No")</f>
        <v>No</v>
      </c>
      <c r="Q26" s="14" t="str">
        <f>IF(Table1[[#This Row],[Total_Orders]]&gt;=20,"Champion",IF(Table1[[#This Row],[Total_Orders]]&gt;=10,"Loyal",IF(Table1[[#This Row],[Total_Orders]]&gt;=5,"Regular","New")))</f>
        <v>Regular</v>
      </c>
    </row>
    <row r="27" spans="1:17" x14ac:dyDescent="0.25">
      <c r="A27" s="4" t="s">
        <v>162</v>
      </c>
      <c r="B27" s="2" t="s">
        <v>163</v>
      </c>
      <c r="C27" s="2" t="s">
        <v>90</v>
      </c>
      <c r="D27" s="2" t="s">
        <v>33</v>
      </c>
      <c r="E27" s="2">
        <v>48</v>
      </c>
      <c r="F27" s="2" t="s">
        <v>16</v>
      </c>
      <c r="G27" s="2" t="s">
        <v>164</v>
      </c>
      <c r="H27" s="2">
        <v>5</v>
      </c>
      <c r="I27" s="2">
        <v>42352</v>
      </c>
      <c r="J27" s="2" t="s">
        <v>165</v>
      </c>
      <c r="K27" s="2" t="s">
        <v>79</v>
      </c>
      <c r="L27" s="6" t="s">
        <v>44</v>
      </c>
      <c r="M27" s="2" t="str">
        <f>IF(Table1[[#This Row],[Total_Spent]]&gt;= 150000,"Platinum",IF(Table1[[#This Row],[Total_Spent]]&gt;=80000,"Gold",IF(Table1[[#This Row],[Total_Spent]]&gt;=30000,"Silver","Bronze")))</f>
        <v>Silver</v>
      </c>
      <c r="N27" s="15" t="s">
        <v>243</v>
      </c>
      <c r="O27" s="14" t="str">
        <f>INDEX(Table1[Customer_Name],MATCH(LARGE(Table1[Total_Spent],1),Table1[Total_Spent],0))</f>
        <v>Varun Tiwari</v>
      </c>
      <c r="P27" s="14" t="str">
        <f>IF(Table1[[#This Row],[Total_Spent]]&gt;AVERAGE(Table1[Total_Spent]),"Yes","No")</f>
        <v>No</v>
      </c>
      <c r="Q27" s="14" t="str">
        <f>IF(Table1[[#This Row],[Total_Orders]]&gt;=20,"Champion",IF(Table1[[#This Row],[Total_Orders]]&gt;=10,"Loyal",IF(Table1[[#This Row],[Total_Orders]]&gt;=5,"Regular","New")))</f>
        <v>Regular</v>
      </c>
    </row>
    <row r="28" spans="1:17" x14ac:dyDescent="0.25">
      <c r="A28" s="3" t="s">
        <v>166</v>
      </c>
      <c r="B28" s="1" t="s">
        <v>167</v>
      </c>
      <c r="C28" s="1" t="s">
        <v>23</v>
      </c>
      <c r="D28" s="1" t="s">
        <v>24</v>
      </c>
      <c r="E28" s="1">
        <v>34</v>
      </c>
      <c r="F28" s="1" t="s">
        <v>16</v>
      </c>
      <c r="G28" s="1" t="s">
        <v>168</v>
      </c>
      <c r="H28" s="1">
        <v>10</v>
      </c>
      <c r="I28" s="1">
        <v>41379</v>
      </c>
      <c r="J28" s="1" t="s">
        <v>169</v>
      </c>
      <c r="K28" s="1" t="s">
        <v>28</v>
      </c>
      <c r="L28" s="5" t="s">
        <v>29</v>
      </c>
      <c r="M28" s="2" t="str">
        <f>IF(Table1[[#This Row],[Total_Spent]]&gt;= 150000,"Platinum",IF(Table1[[#This Row],[Total_Spent]]&gt;=80000,"Gold",IF(Table1[[#This Row],[Total_Spent]]&gt;=30000,"Silver","Bronze")))</f>
        <v>Silver</v>
      </c>
      <c r="N28" s="2"/>
      <c r="O28" s="14"/>
      <c r="P28" s="14" t="str">
        <f>IF(Table1[[#This Row],[Total_Spent]]&gt;AVERAGE(Table1[Total_Spent]),"Yes","No")</f>
        <v>No</v>
      </c>
      <c r="Q28" s="14" t="str">
        <f>IF(Table1[[#This Row],[Total_Orders]]&gt;=20,"Champion",IF(Table1[[#This Row],[Total_Orders]]&gt;=10,"Loyal",IF(Table1[[#This Row],[Total_Orders]]&gt;=5,"Regular","New")))</f>
        <v>Loyal</v>
      </c>
    </row>
    <row r="29" spans="1:17" x14ac:dyDescent="0.25">
      <c r="A29" s="3" t="s">
        <v>178</v>
      </c>
      <c r="B29" s="1" t="s">
        <v>179</v>
      </c>
      <c r="C29" s="1" t="s">
        <v>159</v>
      </c>
      <c r="D29" s="1" t="s">
        <v>24</v>
      </c>
      <c r="E29" s="1">
        <v>27</v>
      </c>
      <c r="F29" s="1" t="s">
        <v>16</v>
      </c>
      <c r="G29" s="1" t="s">
        <v>136</v>
      </c>
      <c r="H29" s="1">
        <v>8</v>
      </c>
      <c r="I29" s="1">
        <v>40909</v>
      </c>
      <c r="J29" s="1" t="s">
        <v>141</v>
      </c>
      <c r="K29" s="1" t="s">
        <v>79</v>
      </c>
      <c r="L29" s="5" t="s">
        <v>20</v>
      </c>
      <c r="M29" s="2" t="str">
        <f>IF(Table1[[#This Row],[Total_Spent]]&gt;= 150000,"Platinum",IF(Table1[[#This Row],[Total_Spent]]&gt;=80000,"Gold",IF(Table1[[#This Row],[Total_Spent]]&gt;=30000,"Silver","Bronze")))</f>
        <v>Silver</v>
      </c>
      <c r="N29" s="2"/>
      <c r="O29" s="14"/>
      <c r="P29" s="14" t="str">
        <f>IF(Table1[[#This Row],[Total_Spent]]&gt;AVERAGE(Table1[Total_Spent]),"Yes","No")</f>
        <v>No</v>
      </c>
      <c r="Q29" s="14" t="str">
        <f>IF(Table1[[#This Row],[Total_Orders]]&gt;=20,"Champion",IF(Table1[[#This Row],[Total_Orders]]&gt;=10,"Loyal",IF(Table1[[#This Row],[Total_Orders]]&gt;=5,"Regular","New")))</f>
        <v>Regular</v>
      </c>
    </row>
    <row r="30" spans="1:17" x14ac:dyDescent="0.25">
      <c r="A30" s="3" t="s">
        <v>12</v>
      </c>
      <c r="B30" s="1" t="s">
        <v>13</v>
      </c>
      <c r="C30" s="1" t="s">
        <v>14</v>
      </c>
      <c r="D30" s="1" t="s">
        <v>15</v>
      </c>
      <c r="E30" s="1">
        <v>33</v>
      </c>
      <c r="F30" s="1" t="s">
        <v>16</v>
      </c>
      <c r="G30" s="1" t="s">
        <v>17</v>
      </c>
      <c r="H30" s="1">
        <v>5</v>
      </c>
      <c r="I30" s="1">
        <v>38732</v>
      </c>
      <c r="J30" s="1" t="s">
        <v>18</v>
      </c>
      <c r="K30" s="1" t="s">
        <v>19</v>
      </c>
      <c r="L30" s="5" t="s">
        <v>20</v>
      </c>
      <c r="M30" s="2" t="str">
        <f>IF(Table1[[#This Row],[Total_Spent]]&gt;= 150000,"Platinum",IF(Table1[[#This Row],[Total_Spent]]&gt;=80000,"Gold",IF(Table1[[#This Row],[Total_Spent]]&gt;=30000,"Silver","Bronze")))</f>
        <v>Silver</v>
      </c>
      <c r="N30" s="2" t="s">
        <v>41</v>
      </c>
      <c r="O30" s="14">
        <f>COUNTIF(Table1[Membership],"Platinum")</f>
        <v>7</v>
      </c>
      <c r="P30" s="14" t="str">
        <f>IF(Table1[[#This Row],[Total_Spent]]&gt;AVERAGE(Table1[Total_Spent]),"Yes","No")</f>
        <v>No</v>
      </c>
      <c r="Q30" s="14" t="str">
        <f>IF(Table1[[#This Row],[Total_Orders]]&gt;=20,"Champion",IF(Table1[[#This Row],[Total_Orders]]&gt;=10,"Loyal",IF(Table1[[#This Row],[Total_Orders]]&gt;=5,"Regular","New")))</f>
        <v>Regular</v>
      </c>
    </row>
    <row r="31" spans="1:17" x14ac:dyDescent="0.25">
      <c r="A31" s="4" t="s">
        <v>180</v>
      </c>
      <c r="B31" s="2" t="s">
        <v>181</v>
      </c>
      <c r="C31" s="2" t="s">
        <v>52</v>
      </c>
      <c r="D31" s="2" t="s">
        <v>52</v>
      </c>
      <c r="E31" s="2">
        <v>23</v>
      </c>
      <c r="F31" s="2" t="s">
        <v>16</v>
      </c>
      <c r="G31" s="2" t="s">
        <v>182</v>
      </c>
      <c r="H31" s="2">
        <v>5</v>
      </c>
      <c r="I31" s="2">
        <v>38699</v>
      </c>
      <c r="J31" s="2" t="s">
        <v>183</v>
      </c>
      <c r="K31" s="2" t="s">
        <v>28</v>
      </c>
      <c r="L31" s="6" t="s">
        <v>44</v>
      </c>
      <c r="M31" s="2" t="str">
        <f>IF(Table1[[#This Row],[Total_Spent]]&gt;= 150000,"Platinum",IF(Table1[[#This Row],[Total_Spent]]&gt;=80000,"Gold",IF(Table1[[#This Row],[Total_Spent]]&gt;=30000,"Silver","Bronze")))</f>
        <v>Silver</v>
      </c>
      <c r="N31" s="2"/>
      <c r="O31" s="14"/>
      <c r="P31" s="14" t="str">
        <f>IF(Table1[[#This Row],[Total_Spent]]&gt;AVERAGE(Table1[Total_Spent]),"Yes","No")</f>
        <v>No</v>
      </c>
      <c r="Q31" s="14" t="str">
        <f>IF(Table1[[#This Row],[Total_Orders]]&gt;=20,"Champion",IF(Table1[[#This Row],[Total_Orders]]&gt;=10,"Loyal",IF(Table1[[#This Row],[Total_Orders]]&gt;=5,"Regular","New")))</f>
        <v>Regular</v>
      </c>
    </row>
    <row r="32" spans="1:17" x14ac:dyDescent="0.25">
      <c r="A32" s="3" t="s">
        <v>67</v>
      </c>
      <c r="B32" s="1" t="s">
        <v>68</v>
      </c>
      <c r="C32" s="1" t="s">
        <v>69</v>
      </c>
      <c r="D32" s="1" t="s">
        <v>70</v>
      </c>
      <c r="E32" s="1">
        <v>47</v>
      </c>
      <c r="F32" s="1" t="s">
        <v>16</v>
      </c>
      <c r="G32" s="1" t="s">
        <v>71</v>
      </c>
      <c r="H32" s="1">
        <v>7</v>
      </c>
      <c r="I32" s="1">
        <v>38280</v>
      </c>
      <c r="J32" s="1" t="s">
        <v>72</v>
      </c>
      <c r="K32" s="1" t="s">
        <v>43</v>
      </c>
      <c r="L32" s="5" t="s">
        <v>29</v>
      </c>
      <c r="M32" s="2" t="str">
        <f>IF(Table1[[#This Row],[Total_Spent]]&gt;= 150000,"Platinum",IF(Table1[[#This Row],[Total_Spent]]&gt;=80000,"Gold",IF(Table1[[#This Row],[Total_Spent]]&gt;=30000,"Silver","Bronze")))</f>
        <v>Silver</v>
      </c>
      <c r="N32" s="2" t="s">
        <v>41</v>
      </c>
      <c r="O32" s="14">
        <f>SUMIF(Table1[Membership],"Platinum",Table1[Total_Spent])</f>
        <v>1977524</v>
      </c>
      <c r="P32" s="14" t="str">
        <f>IF(Table1[[#This Row],[Total_Spent]]&gt;AVERAGE(Table1[Total_Spent]),"Yes","No")</f>
        <v>No</v>
      </c>
      <c r="Q32" s="14" t="str">
        <f>IF(Table1[[#This Row],[Total_Orders]]&gt;=20,"Champion",IF(Table1[[#This Row],[Total_Orders]]&gt;=10,"Loyal",IF(Table1[[#This Row],[Total_Orders]]&gt;=5,"Regular","New")))</f>
        <v>Regular</v>
      </c>
    </row>
    <row r="33" spans="1:17" x14ac:dyDescent="0.25">
      <c r="A33" s="4" t="s">
        <v>126</v>
      </c>
      <c r="B33" s="2" t="s">
        <v>127</v>
      </c>
      <c r="C33" s="2" t="s">
        <v>47</v>
      </c>
      <c r="D33" s="2" t="s">
        <v>24</v>
      </c>
      <c r="E33" s="2">
        <v>40</v>
      </c>
      <c r="F33" s="2" t="s">
        <v>16</v>
      </c>
      <c r="G33" s="2" t="s">
        <v>128</v>
      </c>
      <c r="H33" s="2">
        <v>5</v>
      </c>
      <c r="I33" s="2">
        <v>31351</v>
      </c>
      <c r="J33" s="2" t="s">
        <v>129</v>
      </c>
      <c r="K33" s="2" t="s">
        <v>28</v>
      </c>
      <c r="L33" s="6" t="s">
        <v>29</v>
      </c>
      <c r="M33" s="2" t="str">
        <f>IF(Table1[[#This Row],[Total_Spent]]&gt;= 150000,"Platinum",IF(Table1[[#This Row],[Total_Spent]]&gt;=80000,"Gold",IF(Table1[[#This Row],[Total_Spent]]&gt;=30000,"Silver","Bronze")))</f>
        <v>Silver</v>
      </c>
      <c r="N33" s="2"/>
      <c r="O33" s="14"/>
      <c r="P33" s="14" t="str">
        <f>IF(Table1[[#This Row],[Total_Spent]]&gt;AVERAGE(Table1[Total_Spent]),"Yes","No")</f>
        <v>No</v>
      </c>
      <c r="Q33" s="14" t="str">
        <f>IF(Table1[[#This Row],[Total_Orders]]&gt;=20,"Champion",IF(Table1[[#This Row],[Total_Orders]]&gt;=10,"Loyal",IF(Table1[[#This Row],[Total_Orders]]&gt;=5,"Regular","New")))</f>
        <v>Regular</v>
      </c>
    </row>
    <row r="34" spans="1:17" x14ac:dyDescent="0.25">
      <c r="A34" s="3" t="s">
        <v>138</v>
      </c>
      <c r="B34" s="1" t="s">
        <v>139</v>
      </c>
      <c r="C34" s="1" t="s">
        <v>90</v>
      </c>
      <c r="D34" s="1" t="s">
        <v>33</v>
      </c>
      <c r="E34" s="1">
        <v>46</v>
      </c>
      <c r="F34" s="1" t="s">
        <v>25</v>
      </c>
      <c r="G34" s="1" t="s">
        <v>140</v>
      </c>
      <c r="H34" s="1">
        <v>2</v>
      </c>
      <c r="I34" s="1">
        <v>28430</v>
      </c>
      <c r="J34" s="1" t="s">
        <v>141</v>
      </c>
      <c r="K34" s="1" t="s">
        <v>36</v>
      </c>
      <c r="L34" s="5" t="s">
        <v>44</v>
      </c>
      <c r="M34" s="2" t="str">
        <f>IF(Table1[[#This Row],[Total_Spent]]&gt;= 150000,"Platinum",IF(Table1[[#This Row],[Total_Spent]]&gt;=80000,"Gold",IF(Table1[[#This Row],[Total_Spent]]&gt;=30000,"Silver","Bronze")))</f>
        <v>Bronze</v>
      </c>
      <c r="N34" s="2"/>
      <c r="O34" s="14" t="str">
        <f>INDEX(Table1[Customer_Name],MATCH(LARGE(Table1[Total_Spent],5),Table1[Total_Spent],0))</f>
        <v>Sunita Verma</v>
      </c>
      <c r="P34" s="14" t="str">
        <f>IF(Table1[[#This Row],[Total_Spent]]&gt;AVERAGE(Table1[Total_Spent]),"Yes","No")</f>
        <v>No</v>
      </c>
      <c r="Q34" s="14" t="str">
        <f>IF(Table1[[#This Row],[Total_Orders]]&gt;=20,"Champion",IF(Table1[[#This Row],[Total_Orders]]&gt;=10,"Loyal",IF(Table1[[#This Row],[Total_Orders]]&gt;=5,"Regular","New")))</f>
        <v>New</v>
      </c>
    </row>
    <row r="35" spans="1:17" x14ac:dyDescent="0.25">
      <c r="A35" s="3" t="s">
        <v>97</v>
      </c>
      <c r="B35" s="1" t="s">
        <v>98</v>
      </c>
      <c r="C35" s="1" t="s">
        <v>90</v>
      </c>
      <c r="D35" s="1" t="s">
        <v>33</v>
      </c>
      <c r="E35" s="1">
        <v>42</v>
      </c>
      <c r="F35" s="1" t="s">
        <v>25</v>
      </c>
      <c r="G35" s="1" t="s">
        <v>99</v>
      </c>
      <c r="H35" s="1">
        <v>2</v>
      </c>
      <c r="I35" s="1">
        <v>28315</v>
      </c>
      <c r="J35" s="1" t="s">
        <v>100</v>
      </c>
      <c r="K35" s="1" t="s">
        <v>19</v>
      </c>
      <c r="L35" s="5" t="s">
        <v>29</v>
      </c>
      <c r="M35" s="2" t="str">
        <f>IF(Table1[[#This Row],[Total_Spent]]&gt;= 150000,"Platinum",IF(Table1[[#This Row],[Total_Spent]]&gt;=80000,"Gold",IF(Table1[[#This Row],[Total_Spent]]&gt;=30000,"Silver","Bronze")))</f>
        <v>Bronze</v>
      </c>
      <c r="N35" s="15" t="s">
        <v>238</v>
      </c>
      <c r="O35" s="14"/>
      <c r="P35" s="14" t="str">
        <f>IF(Table1[[#This Row],[Total_Spent]]&gt;AVERAGE(Table1[Total_Spent]),"Yes","No")</f>
        <v>No</v>
      </c>
      <c r="Q35" s="14" t="str">
        <f>IF(Table1[[#This Row],[Total_Orders]]&gt;=20,"Champion",IF(Table1[[#This Row],[Total_Orders]]&gt;=10,"Loyal",IF(Table1[[#This Row],[Total_Orders]]&gt;=5,"Regular","New")))</f>
        <v>New</v>
      </c>
    </row>
    <row r="36" spans="1:17" x14ac:dyDescent="0.25">
      <c r="A36" s="3" t="s">
        <v>30</v>
      </c>
      <c r="B36" s="1" t="s">
        <v>31</v>
      </c>
      <c r="C36" s="1" t="s">
        <v>32</v>
      </c>
      <c r="D36" s="1" t="s">
        <v>33</v>
      </c>
      <c r="E36" s="1">
        <v>45</v>
      </c>
      <c r="F36" s="1" t="s">
        <v>25</v>
      </c>
      <c r="G36" s="1" t="s">
        <v>34</v>
      </c>
      <c r="H36" s="1">
        <v>2</v>
      </c>
      <c r="I36" s="1">
        <v>27359</v>
      </c>
      <c r="J36" s="1" t="s">
        <v>35</v>
      </c>
      <c r="K36" s="1" t="s">
        <v>36</v>
      </c>
      <c r="L36" s="5" t="s">
        <v>20</v>
      </c>
      <c r="M36" s="2" t="str">
        <f>IF(Table1[[#This Row],[Total_Spent]]&gt;= 150000,"Platinum",IF(Table1[[#This Row],[Total_Spent]]&gt;=80000,"Gold",IF(Table1[[#This Row],[Total_Spent]]&gt;=30000,"Silver","Bronze")))</f>
        <v>Bronze</v>
      </c>
      <c r="N36" s="2" t="s">
        <v>16</v>
      </c>
      <c r="O36" s="16">
        <f>COUNTIF(Table1[Membership],"Silver")</f>
        <v>16</v>
      </c>
      <c r="P36" s="14" t="str">
        <f>IF(Table1[[#This Row],[Total_Spent]]&gt;AVERAGE(Table1[Total_Spent]),"Yes","No")</f>
        <v>No</v>
      </c>
      <c r="Q36" s="14" t="str">
        <f>IF(Table1[[#This Row],[Total_Orders]]&gt;=20,"Champion",IF(Table1[[#This Row],[Total_Orders]]&gt;=10,"Loyal",IF(Table1[[#This Row],[Total_Orders]]&gt;=5,"Regular","New")))</f>
        <v>New</v>
      </c>
    </row>
    <row r="37" spans="1:17" x14ac:dyDescent="0.25">
      <c r="A37" s="3" t="s">
        <v>212</v>
      </c>
      <c r="B37" s="1" t="s">
        <v>213</v>
      </c>
      <c r="C37" s="1" t="s">
        <v>90</v>
      </c>
      <c r="D37" s="1" t="s">
        <v>33</v>
      </c>
      <c r="E37" s="1">
        <v>32</v>
      </c>
      <c r="F37" s="1" t="s">
        <v>25</v>
      </c>
      <c r="G37" s="1" t="s">
        <v>214</v>
      </c>
      <c r="H37" s="1">
        <v>5</v>
      </c>
      <c r="I37" s="1">
        <v>27028</v>
      </c>
      <c r="J37" s="1" t="s">
        <v>215</v>
      </c>
      <c r="K37" s="1" t="s">
        <v>36</v>
      </c>
      <c r="L37" s="5" t="s">
        <v>29</v>
      </c>
      <c r="M37" s="2" t="str">
        <f>IF(Table1[[#This Row],[Total_Spent]]&gt;= 150000,"Platinum",IF(Table1[[#This Row],[Total_Spent]]&gt;=80000,"Gold",IF(Table1[[#This Row],[Total_Spent]]&gt;=30000,"Silver","Bronze")))</f>
        <v>Bronze</v>
      </c>
      <c r="N37" s="2"/>
      <c r="O37" s="14"/>
      <c r="P37" s="14" t="str">
        <f>IF(Table1[[#This Row],[Total_Spent]]&gt;AVERAGE(Table1[Total_Spent]),"Yes","No")</f>
        <v>No</v>
      </c>
      <c r="Q37" s="14" t="str">
        <f>IF(Table1[[#This Row],[Total_Orders]]&gt;=20,"Champion",IF(Table1[[#This Row],[Total_Orders]]&gt;=10,"Loyal",IF(Table1[[#This Row],[Total_Orders]]&gt;=5,"Regular","New")))</f>
        <v>Regular</v>
      </c>
    </row>
    <row r="38" spans="1:17" x14ac:dyDescent="0.25">
      <c r="A38" s="4" t="s">
        <v>93</v>
      </c>
      <c r="B38" s="2" t="s">
        <v>94</v>
      </c>
      <c r="C38" s="2" t="s">
        <v>75</v>
      </c>
      <c r="D38" s="2" t="s">
        <v>76</v>
      </c>
      <c r="E38" s="2">
        <v>50</v>
      </c>
      <c r="F38" s="2" t="s">
        <v>25</v>
      </c>
      <c r="G38" s="2" t="s">
        <v>95</v>
      </c>
      <c r="H38" s="2">
        <v>2</v>
      </c>
      <c r="I38" s="2">
        <v>26441</v>
      </c>
      <c r="J38" s="2" t="s">
        <v>96</v>
      </c>
      <c r="K38" s="2" t="s">
        <v>79</v>
      </c>
      <c r="L38" s="6" t="s">
        <v>29</v>
      </c>
      <c r="M38" s="2" t="str">
        <f>IF(Table1[[#This Row],[Total_Spent]]&gt;= 150000,"Platinum",IF(Table1[[#This Row],[Total_Spent]]&gt;=80000,"Gold",IF(Table1[[#This Row],[Total_Spent]]&gt;=30000,"Silver","Bronze")))</f>
        <v>Bronze</v>
      </c>
      <c r="N38" s="2"/>
      <c r="O38" s="14"/>
      <c r="P38" s="14" t="str">
        <f>IF(Table1[[#This Row],[Total_Spent]]&gt;AVERAGE(Table1[Total_Spent]),"Yes","No")</f>
        <v>No</v>
      </c>
      <c r="Q38" s="14" t="str">
        <f>IF(Table1[[#This Row],[Total_Orders]]&gt;=20,"Champion",IF(Table1[[#This Row],[Total_Orders]]&gt;=10,"Loyal",IF(Table1[[#This Row],[Total_Orders]]&gt;=5,"Regular","New")))</f>
        <v>New</v>
      </c>
    </row>
    <row r="39" spans="1:17" x14ac:dyDescent="0.25">
      <c r="A39" s="4" t="s">
        <v>224</v>
      </c>
      <c r="B39" s="2" t="s">
        <v>225</v>
      </c>
      <c r="C39" s="2" t="s">
        <v>63</v>
      </c>
      <c r="D39" s="2" t="s">
        <v>64</v>
      </c>
      <c r="E39" s="2">
        <v>38</v>
      </c>
      <c r="F39" s="2" t="s">
        <v>25</v>
      </c>
      <c r="G39" s="2" t="s">
        <v>86</v>
      </c>
      <c r="H39" s="2">
        <v>3</v>
      </c>
      <c r="I39" s="2">
        <v>22377</v>
      </c>
      <c r="J39" s="2" t="s">
        <v>226</v>
      </c>
      <c r="K39" s="2" t="s">
        <v>79</v>
      </c>
      <c r="L39" s="6" t="s">
        <v>29</v>
      </c>
      <c r="M39" s="2" t="str">
        <f>IF(Table1[[#This Row],[Total_Spent]]&gt;= 150000,"Platinum",IF(Table1[[#This Row],[Total_Spent]]&gt;=80000,"Gold",IF(Table1[[#This Row],[Total_Spent]]&gt;=30000,"Silver","Bronze")))</f>
        <v>Bronze</v>
      </c>
      <c r="N39" s="2"/>
      <c r="O39" s="14"/>
      <c r="P39" s="14" t="str">
        <f>IF(Table1[[#This Row],[Total_Spent]]&gt;AVERAGE(Table1[Total_Spent]),"Yes","No")</f>
        <v>No</v>
      </c>
      <c r="Q39" s="14" t="str">
        <f>IF(Table1[[#This Row],[Total_Orders]]&gt;=20,"Champion",IF(Table1[[#This Row],[Total_Orders]]&gt;=10,"Loyal",IF(Table1[[#This Row],[Total_Orders]]&gt;=5,"Regular","New")))</f>
        <v>New</v>
      </c>
    </row>
    <row r="40" spans="1:17" x14ac:dyDescent="0.25">
      <c r="A40" s="4" t="s">
        <v>61</v>
      </c>
      <c r="B40" s="2" t="s">
        <v>62</v>
      </c>
      <c r="C40" s="2" t="s">
        <v>63</v>
      </c>
      <c r="D40" s="2" t="s">
        <v>64</v>
      </c>
      <c r="E40" s="2">
        <v>46</v>
      </c>
      <c r="F40" s="2" t="s">
        <v>25</v>
      </c>
      <c r="G40" s="2" t="s">
        <v>65</v>
      </c>
      <c r="H40" s="2">
        <v>4</v>
      </c>
      <c r="I40" s="2">
        <v>22150</v>
      </c>
      <c r="J40" s="2" t="s">
        <v>66</v>
      </c>
      <c r="K40" s="2" t="s">
        <v>43</v>
      </c>
      <c r="L40" s="6" t="s">
        <v>20</v>
      </c>
      <c r="M40" s="2" t="str">
        <f>IF(Table1[[#This Row],[Total_Spent]]&gt;= 150000,"Platinum",IF(Table1[[#This Row],[Total_Spent]]&gt;=80000,"Gold",IF(Table1[[#This Row],[Total_Spent]]&gt;=30000,"Silver","Bronze")))</f>
        <v>Bronze</v>
      </c>
      <c r="N40" s="15" t="s">
        <v>237</v>
      </c>
      <c r="O40" s="14"/>
      <c r="P40" s="14" t="str">
        <f>IF(Table1[[#This Row],[Total_Spent]]&gt;AVERAGE(Table1[Total_Spent]),"Yes","No")</f>
        <v>No</v>
      </c>
      <c r="Q40" s="14" t="str">
        <f>IF(Table1[[#This Row],[Total_Orders]]&gt;=20,"Champion",IF(Table1[[#This Row],[Total_Orders]]&gt;=10,"Loyal",IF(Table1[[#This Row],[Total_Orders]]&gt;=5,"Regular","New")))</f>
        <v>New</v>
      </c>
    </row>
    <row r="41" spans="1:17" x14ac:dyDescent="0.25">
      <c r="A41" s="4" t="s">
        <v>119</v>
      </c>
      <c r="B41" s="2" t="s">
        <v>120</v>
      </c>
      <c r="C41" s="2" t="s">
        <v>90</v>
      </c>
      <c r="D41" s="2" t="s">
        <v>33</v>
      </c>
      <c r="E41" s="2">
        <v>47</v>
      </c>
      <c r="F41" s="2" t="s">
        <v>25</v>
      </c>
      <c r="G41" s="2" t="s">
        <v>121</v>
      </c>
      <c r="H41" s="2">
        <v>5</v>
      </c>
      <c r="I41" s="2">
        <v>21438</v>
      </c>
      <c r="J41" s="2" t="s">
        <v>122</v>
      </c>
      <c r="K41" s="2" t="s">
        <v>28</v>
      </c>
      <c r="L41" s="6" t="s">
        <v>44</v>
      </c>
      <c r="M41" s="2" t="str">
        <f>IF(Table1[[#This Row],[Total_Spent]]&gt;= 150000,"Platinum",IF(Table1[[#This Row],[Total_Spent]]&gt;=80000,"Gold",IF(Table1[[#This Row],[Total_Spent]]&gt;=30000,"Silver","Bronze")))</f>
        <v>Bronze</v>
      </c>
      <c r="N41" s="2"/>
      <c r="O41" s="14"/>
      <c r="P41" s="14" t="str">
        <f>IF(Table1[[#This Row],[Total_Spent]]&gt;AVERAGE(Table1[Total_Spent]),"Yes","No")</f>
        <v>No</v>
      </c>
      <c r="Q41" s="14" t="str">
        <f>IF(Table1[[#This Row],[Total_Orders]]&gt;=20,"Champion",IF(Table1[[#This Row],[Total_Orders]]&gt;=10,"Loyal",IF(Table1[[#This Row],[Total_Orders]]&gt;=5,"Regular","New")))</f>
        <v>Regular</v>
      </c>
    </row>
    <row r="42" spans="1:17" x14ac:dyDescent="0.25">
      <c r="A42" s="3" t="s">
        <v>123</v>
      </c>
      <c r="B42" s="1" t="s">
        <v>124</v>
      </c>
      <c r="C42" s="1" t="s">
        <v>23</v>
      </c>
      <c r="D42" s="1" t="s">
        <v>24</v>
      </c>
      <c r="E42" s="1">
        <v>32</v>
      </c>
      <c r="F42" s="1" t="s">
        <v>25</v>
      </c>
      <c r="G42" s="1" t="s">
        <v>125</v>
      </c>
      <c r="H42" s="1">
        <v>2</v>
      </c>
      <c r="I42" s="1">
        <v>19552</v>
      </c>
      <c r="J42" s="1" t="s">
        <v>18</v>
      </c>
      <c r="K42" s="1" t="s">
        <v>19</v>
      </c>
      <c r="L42" s="5" t="s">
        <v>44</v>
      </c>
      <c r="M42" s="2" t="str">
        <f>IF(Table1[[#This Row],[Total_Spent]]&gt;= 150000,"Platinum",IF(Table1[[#This Row],[Total_Spent]]&gt;=80000,"Gold",IF(Table1[[#This Row],[Total_Spent]]&gt;=30000,"Silver","Bronze")))</f>
        <v>Bronze</v>
      </c>
      <c r="N42" s="2"/>
      <c r="O42" s="14"/>
      <c r="P42" s="14" t="str">
        <f>IF(Table1[[#This Row],[Total_Spent]]&gt;AVERAGE(Table1[Total_Spent]),"Yes","No")</f>
        <v>No</v>
      </c>
      <c r="Q42" s="14" t="str">
        <f>IF(Table1[[#This Row],[Total_Orders]]&gt;=20,"Champion",IF(Table1[[#This Row],[Total_Orders]]&gt;=10,"Loyal",IF(Table1[[#This Row],[Total_Orders]]&gt;=5,"Regular","New")))</f>
        <v>New</v>
      </c>
    </row>
    <row r="43" spans="1:17" x14ac:dyDescent="0.25">
      <c r="A43" s="3" t="s">
        <v>107</v>
      </c>
      <c r="B43" s="1" t="s">
        <v>108</v>
      </c>
      <c r="C43" s="1" t="s">
        <v>57</v>
      </c>
      <c r="D43" s="1" t="s">
        <v>58</v>
      </c>
      <c r="E43" s="1">
        <v>38</v>
      </c>
      <c r="F43" s="1" t="s">
        <v>25</v>
      </c>
      <c r="G43" s="1" t="s">
        <v>109</v>
      </c>
      <c r="H43" s="1">
        <v>5</v>
      </c>
      <c r="I43" s="1">
        <v>18413</v>
      </c>
      <c r="J43" s="1" t="s">
        <v>110</v>
      </c>
      <c r="K43" s="1" t="s">
        <v>19</v>
      </c>
      <c r="L43" s="5" t="s">
        <v>20</v>
      </c>
      <c r="M43" s="2" t="str">
        <f>IF(Table1[[#This Row],[Total_Spent]]&gt;= 150000,"Platinum",IF(Table1[[#This Row],[Total_Spent]]&gt;=80000,"Gold",IF(Table1[[#This Row],[Total_Spent]]&gt;=30000,"Silver","Bronze")))</f>
        <v>Bronze</v>
      </c>
      <c r="N43" s="2" t="s">
        <v>150</v>
      </c>
      <c r="O43" s="14">
        <f>AVERAGEIF(Table1[Membership],"Gold",Table1[Total_Spent])</f>
        <v>101529.22222222222</v>
      </c>
      <c r="P43" s="14" t="str">
        <f>IF(Table1[[#This Row],[Total_Spent]]&gt;AVERAGE(Table1[Total_Spent]),"Yes","No")</f>
        <v>No</v>
      </c>
      <c r="Q43" s="14" t="str">
        <f>IF(Table1[[#This Row],[Total_Orders]]&gt;=20,"Champion",IF(Table1[[#This Row],[Total_Orders]]&gt;=10,"Loyal",IF(Table1[[#This Row],[Total_Orders]]&gt;=5,"Regular","New")))</f>
        <v>Regular</v>
      </c>
    </row>
    <row r="44" spans="1:17" x14ac:dyDescent="0.25">
      <c r="A44" s="3" t="s">
        <v>88</v>
      </c>
      <c r="B44" s="1" t="s">
        <v>89</v>
      </c>
      <c r="C44" s="1" t="s">
        <v>90</v>
      </c>
      <c r="D44" s="1" t="s">
        <v>33</v>
      </c>
      <c r="E44" s="1">
        <v>46</v>
      </c>
      <c r="F44" s="1" t="s">
        <v>25</v>
      </c>
      <c r="G44" s="1" t="s">
        <v>91</v>
      </c>
      <c r="H44" s="1">
        <v>5</v>
      </c>
      <c r="I44" s="1">
        <v>17156</v>
      </c>
      <c r="J44" s="1" t="s">
        <v>92</v>
      </c>
      <c r="K44" s="1" t="s">
        <v>43</v>
      </c>
      <c r="L44" s="5" t="s">
        <v>44</v>
      </c>
      <c r="M44" s="2" t="str">
        <f>IF(Table1[[#This Row],[Total_Spent]]&gt;= 150000,"Platinum",IF(Table1[[#This Row],[Total_Spent]]&gt;=80000,"Gold",IF(Table1[[#This Row],[Total_Spent]]&gt;=30000,"Silver","Bronze")))</f>
        <v>Bronze</v>
      </c>
      <c r="N44" s="2"/>
      <c r="O44" s="14"/>
      <c r="P44" s="14" t="str">
        <f>IF(Table1[[#This Row],[Total_Spent]]&gt;AVERAGE(Table1[Total_Spent]),"Yes","No")</f>
        <v>No</v>
      </c>
      <c r="Q44" s="14" t="str">
        <f>IF(Table1[[#This Row],[Total_Orders]]&gt;=20,"Champion",IF(Table1[[#This Row],[Total_Orders]]&gt;=10,"Loyal",IF(Table1[[#This Row],[Total_Orders]]&gt;=5,"Regular","New")))</f>
        <v>Regular</v>
      </c>
    </row>
    <row r="45" spans="1:17" x14ac:dyDescent="0.25">
      <c r="A45" s="3" t="s">
        <v>157</v>
      </c>
      <c r="B45" s="1" t="s">
        <v>158</v>
      </c>
      <c r="C45" s="1" t="s">
        <v>159</v>
      </c>
      <c r="D45" s="1" t="s">
        <v>24</v>
      </c>
      <c r="E45" s="1">
        <v>47</v>
      </c>
      <c r="F45" s="1" t="s">
        <v>25</v>
      </c>
      <c r="G45" s="1" t="s">
        <v>160</v>
      </c>
      <c r="H45" s="1">
        <v>5</v>
      </c>
      <c r="I45" s="1">
        <v>16219</v>
      </c>
      <c r="J45" s="1" t="s">
        <v>161</v>
      </c>
      <c r="K45" s="1" t="s">
        <v>79</v>
      </c>
      <c r="L45" s="5" t="s">
        <v>29</v>
      </c>
      <c r="M45" s="2" t="str">
        <f>IF(Table1[[#This Row],[Total_Spent]]&gt;= 150000,"Platinum",IF(Table1[[#This Row],[Total_Spent]]&gt;=80000,"Gold",IF(Table1[[#This Row],[Total_Spent]]&gt;=30000,"Silver","Bronze")))</f>
        <v>Bronze</v>
      </c>
      <c r="N45" s="2"/>
      <c r="O45" s="14"/>
      <c r="P45" s="14" t="str">
        <f>IF(Table1[[#This Row],[Total_Spent]]&gt;AVERAGE(Table1[Total_Spent]),"Yes","No")</f>
        <v>No</v>
      </c>
      <c r="Q45" s="14" t="str">
        <f>IF(Table1[[#This Row],[Total_Orders]]&gt;=20,"Champion",IF(Table1[[#This Row],[Total_Orders]]&gt;=10,"Loyal",IF(Table1[[#This Row],[Total_Orders]]&gt;=5,"Regular","New")))</f>
        <v>Regular</v>
      </c>
    </row>
    <row r="46" spans="1:17" x14ac:dyDescent="0.25">
      <c r="A46" s="4" t="s">
        <v>111</v>
      </c>
      <c r="B46" s="2" t="s">
        <v>112</v>
      </c>
      <c r="C46" s="2" t="s">
        <v>23</v>
      </c>
      <c r="D46" s="2" t="s">
        <v>24</v>
      </c>
      <c r="E46" s="2">
        <v>50</v>
      </c>
      <c r="F46" s="2" t="s">
        <v>25</v>
      </c>
      <c r="G46" s="2" t="s">
        <v>113</v>
      </c>
      <c r="H46" s="2">
        <v>2</v>
      </c>
      <c r="I46" s="2">
        <v>16037</v>
      </c>
      <c r="J46" s="2" t="s">
        <v>114</v>
      </c>
      <c r="K46" s="2" t="s">
        <v>79</v>
      </c>
      <c r="L46" s="6" t="s">
        <v>20</v>
      </c>
      <c r="M46" s="2" t="str">
        <f>IF(Table1[[#This Row],[Total_Spent]]&gt;= 150000,"Platinum",IF(Table1[[#This Row],[Total_Spent]]&gt;=80000,"Gold",IF(Table1[[#This Row],[Total_Spent]]&gt;=30000,"Silver","Bronze")))</f>
        <v>Bronze</v>
      </c>
      <c r="N46" s="2" t="s">
        <v>16</v>
      </c>
      <c r="O46" s="14">
        <f>AVERAGEIF(Table1[Membership],"Silver",Table1[Total_Spent])</f>
        <v>51799.8125</v>
      </c>
      <c r="P46" s="14" t="str">
        <f>IF(Table1[[#This Row],[Total_Spent]]&gt;AVERAGE(Table1[Total_Spent]),"Yes","No")</f>
        <v>No</v>
      </c>
      <c r="Q46" s="14" t="str">
        <f>IF(Table1[[#This Row],[Total_Orders]]&gt;=20,"Champion",IF(Table1[[#This Row],[Total_Orders]]&gt;=10,"Loyal",IF(Table1[[#This Row],[Total_Orders]]&gt;=5,"Regular","New")))</f>
        <v>New</v>
      </c>
    </row>
    <row r="47" spans="1:17" x14ac:dyDescent="0.25">
      <c r="A47" s="4" t="s">
        <v>134</v>
      </c>
      <c r="B47" s="2" t="s">
        <v>135</v>
      </c>
      <c r="C47" s="2" t="s">
        <v>90</v>
      </c>
      <c r="D47" s="2" t="s">
        <v>33</v>
      </c>
      <c r="E47" s="2">
        <v>47</v>
      </c>
      <c r="F47" s="2" t="s">
        <v>25</v>
      </c>
      <c r="G47" s="2" t="s">
        <v>136</v>
      </c>
      <c r="H47" s="2">
        <v>4</v>
      </c>
      <c r="I47" s="2">
        <v>13677</v>
      </c>
      <c r="J47" s="2" t="s">
        <v>137</v>
      </c>
      <c r="K47" s="2" t="s">
        <v>36</v>
      </c>
      <c r="L47" s="6" t="s">
        <v>44</v>
      </c>
      <c r="M47" s="2" t="str">
        <f>IF(Table1[[#This Row],[Total_Spent]]&gt;= 150000,"Platinum",IF(Table1[[#This Row],[Total_Spent]]&gt;=80000,"Gold",IF(Table1[[#This Row],[Total_Spent]]&gt;=30000,"Silver","Bronze")))</f>
        <v>Bronze</v>
      </c>
      <c r="N47" s="2"/>
      <c r="O47" s="14"/>
      <c r="P47" s="14" t="str">
        <f>IF(Table1[[#This Row],[Total_Spent]]&gt;AVERAGE(Table1[Total_Spent]),"Yes","No")</f>
        <v>No</v>
      </c>
      <c r="Q47" s="14" t="str">
        <f>IF(Table1[[#This Row],[Total_Orders]]&gt;=20,"Champion",IF(Table1[[#This Row],[Total_Orders]]&gt;=10,"Loyal",IF(Table1[[#This Row],[Total_Orders]]&gt;=5,"Regular","New")))</f>
        <v>New</v>
      </c>
    </row>
    <row r="48" spans="1:17" x14ac:dyDescent="0.25">
      <c r="A48" s="4" t="s">
        <v>21</v>
      </c>
      <c r="B48" s="2" t="s">
        <v>22</v>
      </c>
      <c r="C48" s="2" t="s">
        <v>23</v>
      </c>
      <c r="D48" s="2" t="s">
        <v>24</v>
      </c>
      <c r="E48" s="2">
        <v>27</v>
      </c>
      <c r="F48" s="2" t="s">
        <v>25</v>
      </c>
      <c r="G48" s="2" t="s">
        <v>26</v>
      </c>
      <c r="H48" s="2">
        <v>4</v>
      </c>
      <c r="I48" s="2">
        <v>11536</v>
      </c>
      <c r="J48" s="2" t="s">
        <v>27</v>
      </c>
      <c r="K48" s="2" t="s">
        <v>28</v>
      </c>
      <c r="L48" s="6" t="s">
        <v>29</v>
      </c>
      <c r="M48" s="2" t="str">
        <f>IF(Table1[[#This Row],[Total_Spent]]&gt;= 150000,"Platinum",IF(Table1[[#This Row],[Total_Spent]]&gt;=80000,"Gold",IF(Table1[[#This Row],[Total_Spent]]&gt;=30000,"Silver","Bronze")))</f>
        <v>Bronze</v>
      </c>
      <c r="N48" s="2" t="s">
        <v>150</v>
      </c>
      <c r="O48" s="16">
        <f>COUNTIF(Table1[Membership],"Gold")</f>
        <v>9</v>
      </c>
      <c r="P48" s="14" t="str">
        <f>IF(Table1[[#This Row],[Total_Spent]]&gt;AVERAGE(Table1[Total_Spent]),"Yes","No")</f>
        <v>No</v>
      </c>
      <c r="Q48" s="14" t="str">
        <f>IF(Table1[[#This Row],[Total_Orders]]&gt;=20,"Champion",IF(Table1[[#This Row],[Total_Orders]]&gt;=10,"Loyal",IF(Table1[[#This Row],[Total_Orders]]&gt;=5,"Regular","New")))</f>
        <v>New</v>
      </c>
    </row>
    <row r="49" spans="1:17" x14ac:dyDescent="0.25">
      <c r="A49" s="3" t="s">
        <v>115</v>
      </c>
      <c r="B49" s="1" t="s">
        <v>116</v>
      </c>
      <c r="C49" s="1" t="s">
        <v>63</v>
      </c>
      <c r="D49" s="1" t="s">
        <v>64</v>
      </c>
      <c r="E49" s="1">
        <v>34</v>
      </c>
      <c r="F49" s="1" t="s">
        <v>25</v>
      </c>
      <c r="G49" s="1" t="s">
        <v>117</v>
      </c>
      <c r="H49" s="1">
        <v>3</v>
      </c>
      <c r="I49" s="1">
        <v>10624</v>
      </c>
      <c r="J49" s="1" t="s">
        <v>118</v>
      </c>
      <c r="K49" s="1" t="s">
        <v>36</v>
      </c>
      <c r="L49" s="5" t="s">
        <v>44</v>
      </c>
      <c r="M49" s="2" t="str">
        <f>IF(Table1[[#This Row],[Total_Spent]]&gt;= 150000,"Platinum",IF(Table1[[#This Row],[Total_Spent]]&gt;=80000,"Gold",IF(Table1[[#This Row],[Total_Spent]]&gt;=30000,"Silver","Bronze")))</f>
        <v>Bronze</v>
      </c>
      <c r="N49" s="2" t="s">
        <v>25</v>
      </c>
      <c r="O49" s="14">
        <f>AVERAGEIF(Table1[Membership],"Bronze",Table1[Total_Spent])</f>
        <v>19208.222222222223</v>
      </c>
      <c r="P49" s="14" t="str">
        <f>IF(Table1[[#This Row],[Total_Spent]]&gt;AVERAGE(Table1[Total_Spent]),"Yes","No")</f>
        <v>No</v>
      </c>
      <c r="Q49" s="14" t="str">
        <f>IF(Table1[[#This Row],[Total_Orders]]&gt;=20,"Champion",IF(Table1[[#This Row],[Total_Orders]]&gt;=10,"Loyal",IF(Table1[[#This Row],[Total_Orders]]&gt;=5,"Regular","New")))</f>
        <v>New</v>
      </c>
    </row>
    <row r="50" spans="1:17" x14ac:dyDescent="0.25">
      <c r="A50" s="4" t="s">
        <v>170</v>
      </c>
      <c r="B50" s="2" t="s">
        <v>171</v>
      </c>
      <c r="C50" s="2" t="s">
        <v>75</v>
      </c>
      <c r="D50" s="2" t="s">
        <v>76</v>
      </c>
      <c r="E50" s="2">
        <v>30</v>
      </c>
      <c r="F50" s="2" t="s">
        <v>25</v>
      </c>
      <c r="G50" s="2" t="s">
        <v>137</v>
      </c>
      <c r="H50" s="2">
        <v>5</v>
      </c>
      <c r="I50" s="2">
        <v>9921</v>
      </c>
      <c r="J50" s="2" t="s">
        <v>172</v>
      </c>
      <c r="K50" s="2" t="s">
        <v>28</v>
      </c>
      <c r="L50" s="6" t="s">
        <v>20</v>
      </c>
      <c r="M50" s="2" t="str">
        <f>IF(Table1[[#This Row],[Total_Spent]]&gt;= 150000,"Platinum",IF(Table1[[#This Row],[Total_Spent]]&gt;=80000,"Gold",IF(Table1[[#This Row],[Total_Spent]]&gt;=30000,"Silver","Bronze")))</f>
        <v>Bronze</v>
      </c>
      <c r="N50" s="2"/>
      <c r="O50" s="14"/>
      <c r="P50" s="14" t="str">
        <f>IF(Table1[[#This Row],[Total_Spent]]&gt;AVERAGE(Table1[Total_Spent]),"Yes","No")</f>
        <v>No</v>
      </c>
      <c r="Q50" s="14" t="str">
        <f>IF(Table1[[#This Row],[Total_Orders]]&gt;=20,"Champion",IF(Table1[[#This Row],[Total_Orders]]&gt;=10,"Loyal",IF(Table1[[#This Row],[Total_Orders]]&gt;=5,"Regular","New")))</f>
        <v>Regular</v>
      </c>
    </row>
    <row r="51" spans="1:17" x14ac:dyDescent="0.25">
      <c r="A51" s="10" t="s">
        <v>73</v>
      </c>
      <c r="B51" s="11" t="s">
        <v>74</v>
      </c>
      <c r="C51" s="11" t="s">
        <v>75</v>
      </c>
      <c r="D51" s="11" t="s">
        <v>76</v>
      </c>
      <c r="E51" s="11">
        <v>31</v>
      </c>
      <c r="F51" s="11" t="s">
        <v>25</v>
      </c>
      <c r="G51" s="11" t="s">
        <v>77</v>
      </c>
      <c r="H51" s="11">
        <v>1</v>
      </c>
      <c r="I51" s="11">
        <v>9075</v>
      </c>
      <c r="J51" s="11" t="s">
        <v>78</v>
      </c>
      <c r="K51" s="11" t="s">
        <v>79</v>
      </c>
      <c r="L51" s="12" t="s">
        <v>29</v>
      </c>
      <c r="M51" s="11" t="str">
        <f>IF(Table1[[#This Row],[Total_Spent]]&gt;= 150000,"Platinum",IF(Table1[[#This Row],[Total_Spent]]&gt;=80000,"Gold",IF(Table1[[#This Row],[Total_Spent]]&gt;=30000,"Silver","Bronze")))</f>
        <v>Bronze</v>
      </c>
      <c r="N51" s="11" t="s">
        <v>150</v>
      </c>
      <c r="O51" s="14">
        <f>SUMIF(Table1[Membership],"Gold",Table1[Total_Spent])</f>
        <v>913763</v>
      </c>
      <c r="P51" s="14" t="str">
        <f>IF(Table1[[#This Row],[Total_Spent]]&gt;AVERAGE(Table1[Total_Spent]),"Yes","No")</f>
        <v>No</v>
      </c>
      <c r="Q51" s="14" t="str">
        <f>IF(Table1[[#This Row],[Total_Orders]]&gt;=20,"Champion",IF(Table1[[#This Row],[Total_Orders]]&gt;=10,"Loyal",IF(Table1[[#This Row],[Total_Orders]]&gt;=5,"Regular","New")))</f>
        <v>New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3A05-58EB-49CF-A315-20BB5572212F}">
  <dimension ref="A1:P6"/>
  <sheetViews>
    <sheetView showGridLines="0" zoomScaleNormal="100" workbookViewId="0">
      <selection activeCell="L22" sqref="L22"/>
    </sheetView>
  </sheetViews>
  <sheetFormatPr defaultRowHeight="15" x14ac:dyDescent="0.25"/>
  <cols>
    <col min="1" max="1" width="16" bestFit="1" customWidth="1"/>
    <col min="2" max="2" width="20.42578125" customWidth="1"/>
    <col min="3" max="3" width="2.28515625" customWidth="1"/>
    <col min="4" max="4" width="1.85546875" customWidth="1"/>
    <col min="5" max="5" width="13.42578125" bestFit="1" customWidth="1"/>
    <col min="6" max="6" width="24.5703125" customWidth="1"/>
    <col min="7" max="7" width="1.5703125" customWidth="1"/>
    <col min="8" max="8" width="20.7109375" customWidth="1"/>
    <col min="9" max="9" width="26.42578125" bestFit="1" customWidth="1"/>
    <col min="10" max="10" width="2.7109375" customWidth="1"/>
    <col min="11" max="11" width="30.140625" bestFit="1" customWidth="1"/>
    <col min="12" max="12" width="26" customWidth="1"/>
    <col min="13" max="13" width="1.5703125" customWidth="1"/>
    <col min="14" max="14" width="20.42578125" bestFit="1" customWidth="1"/>
    <col min="15" max="15" width="53.7109375" bestFit="1" customWidth="1"/>
  </cols>
  <sheetData>
    <row r="1" spans="1:16" ht="28.5" customHeight="1" x14ac:dyDescent="0.25">
      <c r="A1" s="32" t="s">
        <v>272</v>
      </c>
      <c r="B1" s="32"/>
      <c r="C1" s="32"/>
      <c r="D1" s="32"/>
      <c r="E1" s="32"/>
      <c r="F1" s="32"/>
      <c r="G1" s="32"/>
      <c r="H1" s="32"/>
      <c r="I1" s="32"/>
      <c r="J1" s="32"/>
      <c r="K1" s="32"/>
      <c r="L1" s="32"/>
      <c r="M1" s="33"/>
      <c r="N1" s="42"/>
      <c r="O1" s="42"/>
      <c r="P1" s="42"/>
    </row>
    <row r="2" spans="1:16" ht="15" customHeight="1" x14ac:dyDescent="0.25">
      <c r="A2" s="32"/>
      <c r="B2" s="32"/>
      <c r="C2" s="32"/>
      <c r="D2" s="32"/>
      <c r="E2" s="32"/>
      <c r="F2" s="32"/>
      <c r="G2" s="32"/>
      <c r="H2" s="32"/>
      <c r="I2" s="32"/>
      <c r="J2" s="32"/>
      <c r="K2" s="32"/>
      <c r="L2" s="32"/>
      <c r="M2" s="33"/>
      <c r="N2" s="42"/>
      <c r="O2" s="42"/>
      <c r="P2" s="42"/>
    </row>
    <row r="3" spans="1:16" ht="15.75" thickBot="1" x14ac:dyDescent="0.3"/>
    <row r="4" spans="1:16" ht="27.75" thickTop="1" x14ac:dyDescent="0.5">
      <c r="A4" s="52" t="s">
        <v>273</v>
      </c>
      <c r="B4" s="53"/>
      <c r="C4" s="51"/>
      <c r="D4" s="51"/>
      <c r="E4" s="54" t="s">
        <v>274</v>
      </c>
      <c r="F4" s="55"/>
      <c r="G4" s="51"/>
      <c r="H4" s="56" t="s">
        <v>275</v>
      </c>
      <c r="I4" s="57"/>
      <c r="J4" s="51"/>
      <c r="K4" s="58" t="s">
        <v>276</v>
      </c>
      <c r="L4" s="59"/>
    </row>
    <row r="5" spans="1:16" ht="15.75" thickBot="1" x14ac:dyDescent="0.3">
      <c r="A5" s="43">
        <v>50</v>
      </c>
      <c r="B5" s="44"/>
      <c r="E5" s="45">
        <f>SUM(Table1[Total_Spent])</f>
        <v>4065832</v>
      </c>
      <c r="F5" s="46"/>
      <c r="H5" s="47" t="str">
        <f>INDEX('Pivot Tablw'!B3:B5,MATCH(MAX('Pivot Tablw'!C3:C5),'Pivot Tablw'!C3:C5,0))</f>
        <v>Noida</v>
      </c>
      <c r="I5" s="48"/>
      <c r="K5" s="49" t="str">
        <f>INDEX(Table1[Membership],MATCH(MAX(Table1[Total_Spent]),Table1[Total_Spent],0))</f>
        <v>Platinum</v>
      </c>
      <c r="L5" s="50"/>
    </row>
    <row r="6" spans="1:16" ht="15.75" thickTop="1" x14ac:dyDescent="0.25"/>
  </sheetData>
  <mergeCells count="9">
    <mergeCell ref="H4:I4"/>
    <mergeCell ref="H5:I5"/>
    <mergeCell ref="K4:L4"/>
    <mergeCell ref="K5:L5"/>
    <mergeCell ref="A1:L2"/>
    <mergeCell ref="A4:B4"/>
    <mergeCell ref="A5:B5"/>
    <mergeCell ref="E4:F4"/>
    <mergeCell ref="E5:F5"/>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5979-F2B1-4E05-BEEE-277497B6FA29}">
  <dimension ref="B2:F13"/>
  <sheetViews>
    <sheetView zoomScale="85" zoomScaleNormal="85" workbookViewId="0">
      <selection activeCell="F13" sqref="F13"/>
    </sheetView>
  </sheetViews>
  <sheetFormatPr defaultRowHeight="15" x14ac:dyDescent="0.25"/>
  <cols>
    <col min="2" max="2" width="17.85546875" bestFit="1" customWidth="1"/>
    <col min="3" max="3" width="25.5703125" bestFit="1" customWidth="1"/>
    <col min="5" max="5" width="15.5703125" bestFit="1" customWidth="1"/>
    <col min="6" max="6" width="34.42578125" bestFit="1" customWidth="1"/>
  </cols>
  <sheetData>
    <row r="2" spans="2:6" ht="21" x14ac:dyDescent="0.35">
      <c r="B2" s="37" t="s">
        <v>240</v>
      </c>
      <c r="C2" s="38" t="s">
        <v>242</v>
      </c>
      <c r="E2" s="34" t="s">
        <v>240</v>
      </c>
      <c r="F2" s="31" t="s">
        <v>245</v>
      </c>
    </row>
    <row r="3" spans="2:6" ht="21" x14ac:dyDescent="0.35">
      <c r="B3" s="39" t="s">
        <v>57</v>
      </c>
      <c r="C3" s="40">
        <v>515602</v>
      </c>
      <c r="E3" s="35" t="s">
        <v>25</v>
      </c>
      <c r="F3" s="36">
        <v>18</v>
      </c>
    </row>
    <row r="4" spans="2:6" ht="21" x14ac:dyDescent="0.35">
      <c r="B4" s="39" t="s">
        <v>75</v>
      </c>
      <c r="C4" s="40">
        <v>501067</v>
      </c>
      <c r="E4" s="35" t="s">
        <v>150</v>
      </c>
      <c r="F4" s="36">
        <v>9</v>
      </c>
    </row>
    <row r="5" spans="2:6" ht="21" x14ac:dyDescent="0.35">
      <c r="B5" s="39" t="s">
        <v>23</v>
      </c>
      <c r="C5" s="40">
        <v>680967</v>
      </c>
      <c r="E5" s="35" t="s">
        <v>41</v>
      </c>
      <c r="F5" s="36">
        <v>7</v>
      </c>
    </row>
    <row r="6" spans="2:6" ht="21" x14ac:dyDescent="0.35">
      <c r="B6" s="39" t="s">
        <v>241</v>
      </c>
      <c r="C6" s="40">
        <v>1697636</v>
      </c>
      <c r="E6" s="35" t="s">
        <v>16</v>
      </c>
      <c r="F6" s="36">
        <v>16</v>
      </c>
    </row>
    <row r="7" spans="2:6" ht="21" x14ac:dyDescent="0.35">
      <c r="E7" s="35" t="s">
        <v>241</v>
      </c>
      <c r="F7" s="36">
        <v>50</v>
      </c>
    </row>
    <row r="8" spans="2:6" ht="21" x14ac:dyDescent="0.35">
      <c r="B8" s="34" t="s">
        <v>240</v>
      </c>
      <c r="C8" s="31" t="s">
        <v>242</v>
      </c>
    </row>
    <row r="9" spans="2:6" ht="21" x14ac:dyDescent="0.35">
      <c r="B9" s="35" t="s">
        <v>25</v>
      </c>
      <c r="C9" s="41">
        <v>8.5037453588834952E-2</v>
      </c>
    </row>
    <row r="10" spans="2:6" ht="21" x14ac:dyDescent="0.35">
      <c r="B10" s="35" t="s">
        <v>150</v>
      </c>
      <c r="C10" s="41">
        <v>0.22474194703568667</v>
      </c>
    </row>
    <row r="11" spans="2:6" ht="21" x14ac:dyDescent="0.35">
      <c r="B11" s="35" t="s">
        <v>41</v>
      </c>
      <c r="C11" s="41">
        <v>0.48637622016846738</v>
      </c>
    </row>
    <row r="12" spans="2:6" ht="21" x14ac:dyDescent="0.35">
      <c r="B12" s="35" t="s">
        <v>16</v>
      </c>
      <c r="C12" s="41">
        <v>0.20384437920701101</v>
      </c>
    </row>
    <row r="13" spans="2:6" ht="21" x14ac:dyDescent="0.35">
      <c r="B13" s="35" t="s">
        <v>241</v>
      </c>
      <c r="C13" s="4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CDB5-8472-4D36-8B82-313890CFF800}">
  <dimension ref="A1:F8"/>
  <sheetViews>
    <sheetView showGridLines="0" zoomScale="85" zoomScaleNormal="85" workbookViewId="0">
      <selection activeCell="D5" sqref="D5"/>
    </sheetView>
  </sheetViews>
  <sheetFormatPr defaultColWidth="79" defaultRowHeight="15" x14ac:dyDescent="0.25"/>
  <cols>
    <col min="1" max="1" width="10.28515625" bestFit="1" customWidth="1"/>
    <col min="2" max="2" width="46.85546875" customWidth="1"/>
    <col min="3" max="3" width="44.28515625" customWidth="1"/>
  </cols>
  <sheetData>
    <row r="1" spans="1:6" ht="37.5" customHeight="1" x14ac:dyDescent="0.25">
      <c r="A1" s="17" t="s">
        <v>246</v>
      </c>
      <c r="B1" s="24"/>
      <c r="C1" s="24"/>
      <c r="D1" s="25"/>
      <c r="E1" s="26"/>
      <c r="F1" s="26"/>
    </row>
    <row r="2" spans="1:6" ht="15" customHeight="1" x14ac:dyDescent="0.25">
      <c r="A2" s="28" t="s">
        <v>247</v>
      </c>
      <c r="B2" s="29"/>
      <c r="C2" s="29"/>
      <c r="D2" s="30"/>
      <c r="E2" s="27"/>
      <c r="F2" s="27"/>
    </row>
    <row r="3" spans="1:6" x14ac:dyDescent="0.25">
      <c r="A3" s="18" t="s">
        <v>248</v>
      </c>
      <c r="B3" s="18" t="s">
        <v>249</v>
      </c>
      <c r="C3" s="18" t="s">
        <v>250</v>
      </c>
      <c r="D3" s="18" t="s">
        <v>251</v>
      </c>
    </row>
    <row r="4" spans="1:6" ht="81.75" customHeight="1" x14ac:dyDescent="0.25">
      <c r="A4" s="19" t="s">
        <v>252</v>
      </c>
      <c r="B4" s="20" t="s">
        <v>253</v>
      </c>
      <c r="C4" s="20" t="s">
        <v>254</v>
      </c>
      <c r="D4" s="21" t="s">
        <v>255</v>
      </c>
    </row>
    <row r="5" spans="1:6" ht="104.25" customHeight="1" x14ac:dyDescent="0.25">
      <c r="A5" s="19" t="s">
        <v>256</v>
      </c>
      <c r="B5" s="22" t="s">
        <v>257</v>
      </c>
      <c r="C5" s="22" t="s">
        <v>258</v>
      </c>
      <c r="D5" s="23" t="s">
        <v>259</v>
      </c>
    </row>
    <row r="6" spans="1:6" ht="39" customHeight="1" x14ac:dyDescent="0.25">
      <c r="A6" s="19" t="s">
        <v>260</v>
      </c>
      <c r="B6" s="20" t="s">
        <v>261</v>
      </c>
      <c r="C6" s="20" t="s">
        <v>262</v>
      </c>
      <c r="D6" s="23" t="s">
        <v>263</v>
      </c>
    </row>
    <row r="7" spans="1:6" ht="74.25" customHeight="1" x14ac:dyDescent="0.25">
      <c r="A7" s="19" t="s">
        <v>264</v>
      </c>
      <c r="B7" s="22" t="s">
        <v>265</v>
      </c>
      <c r="C7" s="22" t="s">
        <v>266</v>
      </c>
      <c r="D7" s="23" t="s">
        <v>267</v>
      </c>
    </row>
    <row r="8" spans="1:6" ht="44.25" customHeight="1" x14ac:dyDescent="0.25">
      <c r="A8" s="19" t="s">
        <v>268</v>
      </c>
      <c r="B8" s="20" t="s">
        <v>269</v>
      </c>
      <c r="C8" s="20" t="s">
        <v>270</v>
      </c>
      <c r="D8" s="23" t="s">
        <v>271</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Charts</vt:lpstr>
      <vt:lpstr>Pivot Tablw</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Amaan Abbas</dc:creator>
  <cp:lastModifiedBy>Amaan Abbas</cp:lastModifiedBy>
  <dcterms:created xsi:type="dcterms:W3CDTF">2026-03-04T00:35:56Z</dcterms:created>
  <dcterms:modified xsi:type="dcterms:W3CDTF">2026-03-04T21:32:01Z</dcterms:modified>
</cp:coreProperties>
</file>