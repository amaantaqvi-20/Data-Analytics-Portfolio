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Data Science\Excel\"/>
    </mc:Choice>
  </mc:AlternateContent>
  <xr:revisionPtr revIDLastSave="0" documentId="13_ncr:1_{C894DC02-1C64-4170-8D9D-355049E5D499}" xr6:coauthVersionLast="47" xr6:coauthVersionMax="47" xr10:uidLastSave="{00000000-0000-0000-0000-000000000000}"/>
  <bookViews>
    <workbookView xWindow="-120" yWindow="-120" windowWidth="20730" windowHeight="11160" activeTab="2" xr2:uid="{FC8AFABF-9F12-44AC-ADE9-BDBF84123971}"/>
  </bookViews>
  <sheets>
    <sheet name="Raw_Data" sheetId="1" r:id="rId1"/>
    <sheet name="Cafe_Analysis" sheetId="2" r:id="rId2"/>
    <sheet name="Cafe_Pivots" sheetId="3" r:id="rId3"/>
    <sheet name="Sheet4" sheetId="4" r:id="rId4"/>
  </sheets>
  <definedNames>
    <definedName name="_xlnm._FilterDatabase" localSheetId="1" hidden="1">Cafe_Analysis!$B$12:$C$18</definedName>
    <definedName name="Slicer_Category">#N/A</definedName>
    <definedName name="Slicer_Item">#N/A</definedName>
    <definedName name="Slicer_Payment_Method">#N/A</definedName>
    <definedName name="Slicer_Shift">#N/A</definedName>
    <definedName name="Slicer_Staff">#N/A</definedName>
  </definedNames>
  <calcPr calcId="191029"/>
  <pivotCaches>
    <pivotCache cacheId="7"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33" i="2" l="1"/>
  <c r="C32" i="2"/>
  <c r="B32" i="2" a="1"/>
  <c r="C27" i="2"/>
  <c r="C26" i="2"/>
  <c r="C25" i="2"/>
  <c r="C24" i="2"/>
  <c r="C23" i="2"/>
  <c r="B23" i="2" a="1"/>
  <c r="C18" i="2"/>
  <c r="C17" i="2"/>
  <c r="C16" i="2"/>
  <c r="C15" i="2"/>
  <c r="C14" i="2"/>
  <c r="C13" i="2"/>
  <c r="C12" i="2"/>
  <c r="B12" i="2" a="1"/>
  <c r="K3" i="1"/>
  <c r="K2" i="1"/>
  <c r="J5" i="2"/>
  <c r="H5" i="2"/>
  <c r="F5" i="2"/>
  <c r="D5" i="2"/>
  <c r="B5"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<sst xmlns="http://schemas.openxmlformats.org/spreadsheetml/2006/main" count="155" uniqueCount="48">
  <si>
    <t>Order_ID</t>
  </si>
  <si>
    <t>Date</t>
  </si>
  <si>
    <t>Shift</t>
  </si>
  <si>
    <t>Table_No</t>
  </si>
  <si>
    <t>Item</t>
  </si>
  <si>
    <t>Category</t>
  </si>
  <si>
    <t>Quantity</t>
  </si>
  <si>
    <t>Revenue</t>
  </si>
  <si>
    <t>Payment_Method</t>
  </si>
  <si>
    <t>Staff</t>
  </si>
  <si>
    <t>Morning</t>
  </si>
  <si>
    <t>Cappuccino</t>
  </si>
  <si>
    <t>Beverage</t>
  </si>
  <si>
    <t>UPI</t>
  </si>
  <si>
    <t>Amaan</t>
  </si>
  <si>
    <t>Pizza</t>
  </si>
  <si>
    <t>Food</t>
  </si>
  <si>
    <t>Cash</t>
  </si>
  <si>
    <t>Ali</t>
  </si>
  <si>
    <t>Evening</t>
  </si>
  <si>
    <t>Pasta</t>
  </si>
  <si>
    <t>Ahmed</t>
  </si>
  <si>
    <t>Biryani</t>
  </si>
  <si>
    <t>Hamza</t>
  </si>
  <si>
    <t>Dal Makhani</t>
  </si>
  <si>
    <t>Rehan</t>
  </si>
  <si>
    <t>Chinese</t>
  </si>
  <si>
    <t>Paneer Do Pyaza</t>
  </si>
  <si>
    <t>Total Revenue</t>
  </si>
  <si>
    <t>Total Orders</t>
  </si>
  <si>
    <t>Average Order Value</t>
  </si>
  <si>
    <t>Food Revenue</t>
  </si>
  <si>
    <t>Beverage Revenue</t>
  </si>
  <si>
    <t>Which shift generates the highest revenue?</t>
  </si>
  <si>
    <t>Column1</t>
  </si>
  <si>
    <t>..Evening shift generates the highest revenue</t>
  </si>
  <si>
    <t>Which item generates the highest revenue?</t>
  </si>
  <si>
    <t>Pizza has the hughest revenue</t>
  </si>
  <si>
    <t>Which staff member generates the highest revenue?</t>
  </si>
  <si>
    <t>Hamza generated the hghest revenue</t>
  </si>
  <si>
    <t>UPI vs Cash Revenue</t>
  </si>
  <si>
    <t>Which payment method contributes more?</t>
  </si>
  <si>
    <t>Cash generated the highest revenue</t>
  </si>
  <si>
    <t>Row Labels</t>
  </si>
  <si>
    <t>Grand Total</t>
  </si>
  <si>
    <t>Sum of Revenue</t>
  </si>
  <si>
    <t>Walk n Stay Cafe Operations Dashboard
June 2026</t>
  </si>
  <si>
    <t>Key Insights
• Evening shift generated 82% of revenue.
• Pizza is the highest revenue-generating item.
• Hamza generated the highest staff revenue.
• Food contributes 86% of total revenue.
• Cash and UPI revenues are nearly equal.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</si>
</sst>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 #,##0.00"/>
  </numFmts>
  <fonts count="4" x14ac:knownFonts="1">
    <font>
      <sz val="11"/>
      <color theme="1"/>
      <name val="Aptos Narrow"/>
      <family val="2"/>
      <scheme val="minor"/>
    </font>
    <font>
      <b/>
      <sz val="11"/>
      <color theme="1"/>
      <name val="Aptos Narrow"/>
      <family val="2"/>
      <scheme val="minor"/>
    </font>
    <font>
      <b/>
      <sz val="14"/>
      <name val="Aptos Narrow"/>
      <family val="2"/>
      <scheme val="minor"/>
    </font>
    <font>
      <b/>
      <sz val="16"/>
      <color theme="1"/>
      <name val="Aptos Narrow"/>
      <family val="2"/>
      <scheme val="minor"/>
    </font>
  </fonts>
  <fills count="6">
    <fill>
      <patternFill patternType="none"/>
    </fill>
    <fill>
      <patternFill patternType="gray125"/>
    </fill>
    <fill>
      <patternFill patternType="solid">
        <fgColor theme="3" tint="0.249977111117893"/>
        <bgColor indexed="64"/>
      </patternFill>
    </fill>
    <fill>
      <patternFill patternType="solid">
        <fgColor theme="4"/>
        <bgColor indexed="64"/>
      </patternFill>
    </fill>
    <fill>
      <patternFill patternType="solid">
        <fgColor theme="8" tint="0.59999389629810485"/>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68" fontId="1" fillId="0" borderId="0" xfId="0" applyNumberFormat="1" applyFont="1" applyAlignment="1">
      <alignment horizontal="center" vertical="center" wrapText="1"/>
    </xf>
    <xf numFmtId="168" fontId="0" fillId="0" borderId="0" xfId="0" applyNumberFormat="1" applyAlignment="1">
      <alignment vertical="center" wrapText="1"/>
    </xf>
    <xf numFmtId="14" fontId="1" fillId="0" borderId="0" xfId="0" applyNumberFormat="1" applyFont="1" applyAlignment="1">
      <alignment horizontal="center" vertical="center" wrapText="1"/>
    </xf>
    <xf numFmtId="14" fontId="0" fillId="0" borderId="0" xfId="0" applyNumberFormat="1" applyAlignment="1">
      <alignment vertical="center" wrapText="1"/>
    </xf>
    <xf numFmtId="168"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2" fillId="4" borderId="0" xfId="0" applyFont="1" applyFill="1" applyAlignment="1">
      <alignment horizontal="center" vertical="top" wrapText="1"/>
    </xf>
    <xf numFmtId="0" fontId="2" fillId="4" borderId="0" xfId="0" applyFont="1" applyFill="1" applyAlignment="1">
      <alignment horizontal="center" vertical="top"/>
    </xf>
    <xf numFmtId="0" fontId="3" fillId="5" borderId="0" xfId="0" applyFont="1" applyFill="1" applyAlignment="1">
      <alignment horizontal="center" vertical="center" wrapText="1"/>
    </xf>
  </cellXfs>
  <cellStyles count="1">
    <cellStyle name="Normal" xfId="0" builtinId="0"/>
  </cellStyles>
  <dxfs count="13">
    <dxf>
      <numFmt numFmtId="0" formatCode="General"/>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8" formatCode="&quot;₹&quot;\ #,##0.0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[Walk_n_Stay_Cafe_Operations_Dashboard.xlsx]Cafe_Pivots!PivotTable1</c:name>
    <c:fmtId val="3"/>
  </c:pivotSource>
  <c:chart>
    <c:title>
      <c:tx>
        <c:rich>
          <a:bodyPr rot="0" spcFirstLastPara="1" vertOverflow="ellipsis" vert="horz" wrap="square" anchor="ctr" anchorCtr="1"/>
          <a:lstStyle/>
          <a:p>
            <a:pPr>
              <a:defRPr sz="1600" b="1" i="0" u="none" strike="noStrike" kern="1200" baseline="0">
                <a:solidFill>
                  <a:schemeClr val="dk1">
                    <a:lumMod val="65000"/>
                    <a:lumOff val="35000"/>
                  </a:schemeClr>
                </a:solidFill>
                <a:effectLst/>
                <a:latin typeface="+mn-lt"/>
                <a:ea typeface="+mn-ea"/>
                <a:cs typeface="+mn-cs"/>
              </a:defRPr>
            </a:pPr>
            <a:r>
              <a:rPr lang="en-US" sz="1600" b="1"/>
              <a:t>Sum of Revenue by Shift</a:t>
            </a:r>
          </a:p>
        </c:rich>
      </c:tx>
      <c:layout>
        <c:manualLayout>
          <c:xMode val="edge"/>
          <c:yMode val="edge"/>
          <c:x val="0.1802057947468183"/>
          <c:y val="0.14477079619663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Cafe_Pivots!$C$6</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Cafe_Pivots!$B$7:$B$9</c:f>
              <c:strCache>
                <c:ptCount val="2"/>
                <c:pt idx="0">
                  <c:v>Evening</c:v>
                </c:pt>
                <c:pt idx="1">
                  <c:v>Morning</c:v>
                </c:pt>
              </c:strCache>
            </c:strRef>
          </c:cat>
          <c:val>
            <c:numRef>
              <c:f>Cafe_Pivots!$C$7:$C$9</c:f>
              <c:numCache>
                <c:formatCode>"₹"\ #,##0.00</c:formatCode>
                <c:ptCount val="2"/>
                <c:pt idx="0">
                  <c:v>9710</c:v>
                </c:pt>
                <c:pt idx="1">
                  <c:v>2100</c:v>
                </c:pt>
              </c:numCache>
            </c:numRef>
          </c:val>
          <c:extLst>
            <c:ext xmlns:c16="http://schemas.microsoft.com/office/drawing/2014/chart" uri="{C3380CC4-5D6E-409C-BE32-E72D297353CC}">
              <c16:uniqueId val="{00000000-42BF-4056-9E11-F0AB23652D19}"/>
            </c:ext>
          </c:extLst>
        </c:ser>
        <c:dLbls>
          <c:dLblPos val="inEnd"/>
          <c:showLegendKey val="0"/>
          <c:showVal val="1"/>
          <c:showCatName val="0"/>
          <c:showSerName val="0"/>
          <c:showPercent val="0"/>
          <c:showBubbleSize val="0"/>
        </c:dLbls>
        <c:gapWidth val="41"/>
        <c:axId val="2097468895"/>
        <c:axId val="2097465535"/>
      </c:barChart>
      <c:catAx>
        <c:axId val="2097468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097465535"/>
        <c:crosses val="autoZero"/>
        <c:auto val="1"/>
        <c:lblAlgn val="ctr"/>
        <c:lblOffset val="100"/>
        <c:noMultiLvlLbl val="0"/>
      </c:catAx>
      <c:valAx>
        <c:axId val="2097465535"/>
        <c:scaling>
          <c:orientation val="minMax"/>
        </c:scaling>
        <c:delete val="1"/>
        <c:axPos val="l"/>
        <c:numFmt formatCode="&quot;₹&quot;\ #,##0.00" sourceLinked="1"/>
        <c:majorTickMark val="none"/>
        <c:minorTickMark val="none"/>
        <c:tickLblPos val="nextTo"/>
        <c:crossAx val="209746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[Walk_n_Stay_Cafe_Operations_Dashboard.xlsx]Cafe_Pivots!PivotTable2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Sum of Revenue</a:t>
            </a:r>
            <a:r>
              <a:rPr lang="en-US" baseline="0"/>
              <a:t> by Items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Cafe_Pivots!$C$12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Cafe_Pivots!$B$13:$B$20</c:f>
              <c:strCache>
                <c:ptCount val="7"/>
                <c:pt idx="0">
                  <c:v>Pizza</c:v>
                </c:pt>
                <c:pt idx="1">
                  <c:v>Biryani</c:v>
                </c:pt>
                <c:pt idx="2">
                  <c:v>Cappuccino</c:v>
                </c:pt>
                <c:pt idx="3">
                  <c:v>Paneer Do Pyaza</c:v>
                </c:pt>
                <c:pt idx="4">
                  <c:v>Chinese</c:v>
                </c:pt>
                <c:pt idx="5">
                  <c:v>Pasta</c:v>
                </c:pt>
                <c:pt idx="6">
                  <c:v>Dal Makhani</c:v>
                </c:pt>
              </c:strCache>
            </c:strRef>
          </c:cat>
          <c:val>
            <c:numRef>
              <c:f>Cafe_Pivots!$C$13:$C$20</c:f>
              <c:numCache>
                <c:formatCode>"₹"\ #,##0.00</c:formatCode>
                <c:ptCount val="7"/>
                <c:pt idx="0">
                  <c:v>3600</c:v>
                </c:pt>
                <c:pt idx="1">
                  <c:v>2000</c:v>
                </c:pt>
                <c:pt idx="2">
                  <c:v>1650</c:v>
                </c:pt>
                <c:pt idx="3">
                  <c:v>1260</c:v>
                </c:pt>
                <c:pt idx="4">
                  <c:v>1200</c:v>
                </c:pt>
                <c:pt idx="5">
                  <c:v>1050</c:v>
                </c:pt>
                <c:pt idx="6">
                  <c:v>1050</c:v>
                </c:pt>
              </c:numCache>
            </c:numRef>
          </c:val>
          <c:extLst>
            <c:ext xmlns:c16="http://schemas.microsoft.com/office/drawing/2014/chart" uri="{C3380CC4-5D6E-409C-BE32-E72D297353CC}">
              <c16:uniqueId val="{00000000-2E06-4B1A-84F1-71587593F6ED}"/>
            </c:ext>
          </c:extLst>
        </c:ser>
        <c:dLbls>
          <c:dLblPos val="inEnd"/>
          <c:showLegendKey val="0"/>
          <c:showVal val="1"/>
          <c:showCatName val="0"/>
          <c:showSerName val="0"/>
          <c:showPercent val="0"/>
          <c:showBubbleSize val="0"/>
        </c:dLbls>
        <c:gapWidth val="65"/>
        <c:axId val="2097509695"/>
        <c:axId val="2097490495"/>
      </c:barChart>
      <c:catAx>
        <c:axId val="2097509695"/>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2097490495"/>
        <c:crosses val="autoZero"/>
        <c:auto val="1"/>
        <c:lblAlgn val="ctr"/>
        <c:lblOffset val="100"/>
        <c:noMultiLvlLbl val="0"/>
      </c:catAx>
      <c:valAx>
        <c:axId val="2097490495"/>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out"/>
        <c:minorTickMark val="none"/>
        <c:tickLblPos val="nextTo"/>
        <c:crossAx val="209750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[Walk_n_Stay_Cafe_Operations_Dashboard.xlsx]Cafe_Pivots!PivotTable3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Sum of Revenue</a:t>
            </a:r>
            <a:r>
              <a:rPr lang="en-US" baseline="0"/>
              <a:t> by Staff</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Cafe_Pivots!$C$23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Cafe_Pivots!$B$24:$B$29</c:f>
              <c:strCache>
                <c:ptCount val="5"/>
                <c:pt idx="0">
                  <c:v>Hamza</c:v>
                </c:pt>
                <c:pt idx="1">
                  <c:v>Ali</c:v>
                </c:pt>
                <c:pt idx="2">
                  <c:v>Ahmed</c:v>
                </c:pt>
                <c:pt idx="3">
                  <c:v>Rehan</c:v>
                </c:pt>
                <c:pt idx="4">
                  <c:v>Amaan</c:v>
                </c:pt>
              </c:strCache>
            </c:strRef>
          </c:cat>
          <c:val>
            <c:numRef>
              <c:f>Cafe_Pivots!$C$24:$C$29</c:f>
              <c:numCache>
                <c:formatCode>"₹"\ #,##0.00</c:formatCode>
                <c:ptCount val="5"/>
                <c:pt idx="0">
                  <c:v>3120</c:v>
                </c:pt>
                <c:pt idx="1">
                  <c:v>3050</c:v>
                </c:pt>
                <c:pt idx="2">
                  <c:v>2440</c:v>
                </c:pt>
                <c:pt idx="3">
                  <c:v>1700</c:v>
                </c:pt>
                <c:pt idx="4">
                  <c:v>1500</c:v>
                </c:pt>
              </c:numCache>
            </c:numRef>
          </c:val>
          <c:extLst>
            <c:ext xmlns:c16="http://schemas.microsoft.com/office/drawing/2014/chart" uri="{C3380CC4-5D6E-409C-BE32-E72D297353CC}">
              <c16:uniqueId val="{00000000-4A2D-47FA-AB9C-D42044BD4565}"/>
            </c:ext>
          </c:extLst>
        </c:ser>
        <c:dLbls>
          <c:showLegendKey val="0"/>
          <c:showVal val="1"/>
          <c:showCatName val="0"/>
          <c:showSerName val="0"/>
          <c:showPercent val="0"/>
          <c:showBubbleSize val="0"/>
        </c:dLbls>
        <c:gapWidth val="65"/>
        <c:shape val="box"/>
        <c:axId val="291193535"/>
        <c:axId val="291176255"/>
        <c:axId val="0"/>
      </c:bar3DChart>
      <c:catAx>
        <c:axId val="2911935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91176255"/>
        <c:crosses val="autoZero"/>
        <c:auto val="1"/>
        <c:lblAlgn val="ctr"/>
        <c:lblOffset val="100"/>
        <c:noMultiLvlLbl val="0"/>
      </c:catAx>
      <c:valAx>
        <c:axId val="291176255"/>
        <c:scaling>
          <c:orientation val="minMax"/>
        </c:scaling>
        <c:delete val="1"/>
        <c:axPos val="l"/>
        <c:majorGridlines>
          <c:spPr>
            <a:ln w="9525" cap="flat" cmpd="sng" algn="ctr">
              <a:solidFill>
                <a:schemeClr val="dk1">
                  <a:lumMod val="15000"/>
                  <a:lumOff val="85000"/>
                </a:schemeClr>
              </a:solidFill>
              <a:round/>
            </a:ln>
            <a:effectLst/>
          </c:spPr>
        </c:majorGridlines>
        <c:numFmt formatCode="&quot;₹&quot;\ #,##0.00" sourceLinked="1"/>
        <c:majorTickMark val="none"/>
        <c:minorTickMark val="none"/>
        <c:tickLblPos val="nextTo"/>
        <c:crossAx val="29119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[Walk_n_Stay_Cafe_Operations_Dashboard.xlsx]Cafe_Pivots!PivotTable4</c:name>
    <c:fmtId val="3"/>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Sum of Revenue by Mode</a:t>
            </a:r>
            <a:r>
              <a:rPr lang="en-US" sz="1200" baseline="0"/>
              <a:t> of Payment</a:t>
            </a:r>
            <a:endParaRPr lang="en-US" sz="1200"/>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6395711299094898"/>
          <c:y val="0.17694638727015571"/>
          <c:w val="0.46724522323801243"/>
          <c:h val="0.78655727984497203"/>
        </c:manualLayout>
      </c:layout>
      <c:pieChart>
        <c:varyColors val="1"/>
        <c:ser>
          <c:idx val="0"/>
          <c:order val="0"/>
          <c:tx>
            <c:strRef>
              <c:f>Cafe_Pivots!$G$6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4E4-4F49-89FA-93BEC977C8D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4E4-4F49-89FA-93BEC977C8D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Cafe_Pivots!$F$7:$F$9</c:f>
              <c:strCache>
                <c:ptCount val="2"/>
                <c:pt idx="0">
                  <c:v>Cash</c:v>
                </c:pt>
                <c:pt idx="1">
                  <c:v>UPI</c:v>
                </c:pt>
              </c:strCache>
            </c:strRef>
          </c:cat>
          <c:val>
            <c:numRef>
              <c:f>Cafe_Pivots!$G$7:$G$9</c:f>
              <c:numCache>
                <c:formatCode>"₹"\ #,##0.00</c:formatCode>
                <c:ptCount val="2"/>
                <c:pt idx="0">
                  <c:v>6050</c:v>
                </c:pt>
                <c:pt idx="1">
                  <c:v>5760</c:v>
                </c:pt>
              </c:numCache>
            </c:numRef>
          </c:val>
          <c:extLst>
            <c:ext xmlns:c16="http://schemas.microsoft.com/office/drawing/2014/chart" uri="{C3380CC4-5D6E-409C-BE32-E72D297353CC}">
              <c16:uniqueId val="{00000004-C4E4-4F49-89FA-93BEC977C8D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5605538301158215"/>
          <c:y val="0.41587523426861978"/>
          <c:w val="0.20058417104728565"/>
          <c:h val="0.1748796986035123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14</xdr:col>
      <xdr:colOff>349250</xdr:colOff>
      <xdr:row>3</xdr:row>
      <xdr:rowOff>104775</xdr:rowOff>
    </xdr:from>
    <xdr:to>
      <xdr:col>20</xdr:col>
      <xdr:colOff>52918</xdr:colOff>
      <xdr:row>28</xdr:row>
      <xdr:rowOff>57150</xdr:rowOff>
    </xdr:to>
    <xdr:sp macro="" textlink="">
      <xdr:nvSpPr>
        <xdr:cNvPr id="22" name="Rectangle: Rounded Corners 21">
          <a:extLst>
            <a:ext uri="{FF2B5EF4-FFF2-40B4-BE49-F238E27FC236}">
              <a16:creationId xmlns:a16="http://schemas.microsoft.com/office/drawing/2014/main" id="{03270FA5-2777-C88C-4883-5B21054F8220}"/>
            </a:ext>
          </a:extLst>
        </xdr:cNvPr>
        <xdr:cNvSpPr/>
      </xdr:nvSpPr>
      <xdr:spPr>
        <a:xfrm>
          <a:off x="10265833" y="676275"/>
          <a:ext cx="3661835" cy="4714875"/>
        </a:xfrm>
        <a:prstGeom prst="roundRect">
          <a:avLst>
            <a:gd name="adj" fmla="val 9235"/>
          </a:avLst>
        </a:prstGeom>
        <a:solidFill>
          <a:schemeClr val="tx2">
            <a:lumMod val="50000"/>
            <a:lumOff val="50000"/>
          </a:schemeClr>
        </a:solid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183093</xdr:colOff>
      <xdr:row>8</xdr:row>
      <xdr:rowOff>183091</xdr:rowOff>
    </xdr:from>
    <xdr:to>
      <xdr:col>7</xdr:col>
      <xdr:colOff>68792</xdr:colOff>
      <xdr:row>20</xdr:row>
      <xdr:rowOff>183091</xdr:rowOff>
    </xdr:to>
    <xdr:grpSp>
      <xdr:nvGrpSpPr>
        <xdr:cNvPr id="8" name="Group 7">
          <a:extLst>
            <a:ext uri="{FF2B5EF4-FFF2-40B4-BE49-F238E27FC236}">
              <a16:creationId xmlns:a16="http://schemas.microsoft.com/office/drawing/2014/main" id="{0575157D-678E-891F-D148-DEB3B525FCC0}"/>
            </a:ext>
          </a:extLst>
        </xdr:cNvPr>
        <xdr:cNvGrpSpPr/>
      </xdr:nvGrpSpPr>
      <xdr:grpSpPr>
        <a:xfrm>
          <a:off x="796926" y="1707091"/>
          <a:ext cx="3843866" cy="2286000"/>
          <a:chOff x="685801" y="590550"/>
          <a:chExt cx="3390900" cy="2676526"/>
        </a:xfrm>
      </xdr:grpSpPr>
      <xdr:sp macro="" textlink="">
        <xdr:nvSpPr>
          <xdr:cNvPr id="5" name="Rectangle: Rounded Corners 4">
            <a:extLst>
              <a:ext uri="{FF2B5EF4-FFF2-40B4-BE49-F238E27FC236}">
                <a16:creationId xmlns:a16="http://schemas.microsoft.com/office/drawing/2014/main" id="{2D897CCE-3FC4-F390-DB77-05F993D1A95D}"/>
              </a:ext>
            </a:extLst>
          </xdr:cNvPr>
          <xdr:cNvSpPr/>
        </xdr:nvSpPr>
        <xdr:spPr>
          <a:xfrm>
            <a:off x="685801" y="590550"/>
            <a:ext cx="3390900" cy="2676526"/>
          </a:xfrm>
          <a:prstGeom prst="roundRect">
            <a:avLst>
              <a:gd name="adj" fmla="val 9698"/>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 name="Chart 1">
            <a:extLst>
              <a:ext uri="{FF2B5EF4-FFF2-40B4-BE49-F238E27FC236}">
                <a16:creationId xmlns:a16="http://schemas.microsoft.com/office/drawing/2014/main" id="{337B4BE5-61D2-4C73-864F-9F8ACCFF7FDD}"/>
              </a:ext>
            </a:extLst>
          </xdr:cNvPr>
          <xdr:cNvGraphicFramePr>
            <a:graphicFrameLocks/>
          </xdr:cNvGraphicFramePr>
        </xdr:nvGraphicFramePr>
        <xdr:xfrm>
          <a:off x="809625" y="716280"/>
          <a:ext cx="3124199" cy="246507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7</xdr:col>
      <xdr:colOff>416984</xdr:colOff>
      <xdr:row>9</xdr:row>
      <xdr:rowOff>69849</xdr:rowOff>
    </xdr:from>
    <xdr:to>
      <xdr:col>13</xdr:col>
      <xdr:colOff>117185</xdr:colOff>
      <xdr:row>21</xdr:row>
      <xdr:rowOff>60325</xdr:rowOff>
    </xdr:to>
    <xdr:grpSp>
      <xdr:nvGrpSpPr>
        <xdr:cNvPr id="9" name="Group 8">
          <a:extLst>
            <a:ext uri="{FF2B5EF4-FFF2-40B4-BE49-F238E27FC236}">
              <a16:creationId xmlns:a16="http://schemas.microsoft.com/office/drawing/2014/main" id="{C7F5B564-4B05-CF6B-E1DB-E59D789434BE}"/>
            </a:ext>
          </a:extLst>
        </xdr:cNvPr>
        <xdr:cNvGrpSpPr/>
      </xdr:nvGrpSpPr>
      <xdr:grpSpPr>
        <a:xfrm>
          <a:off x="4988984" y="1784349"/>
          <a:ext cx="4430951" cy="2276476"/>
          <a:chOff x="4267200" y="619124"/>
          <a:chExt cx="3933825" cy="2667001"/>
        </a:xfrm>
      </xdr:grpSpPr>
      <xdr:sp macro="" textlink="">
        <xdr:nvSpPr>
          <xdr:cNvPr id="6" name="Rectangle: Rounded Corners 5">
            <a:extLst>
              <a:ext uri="{FF2B5EF4-FFF2-40B4-BE49-F238E27FC236}">
                <a16:creationId xmlns:a16="http://schemas.microsoft.com/office/drawing/2014/main" id="{7463B6EB-90E3-FA3A-7A1C-784E628D4A02}"/>
              </a:ext>
            </a:extLst>
          </xdr:cNvPr>
          <xdr:cNvSpPr/>
        </xdr:nvSpPr>
        <xdr:spPr>
          <a:xfrm>
            <a:off x="4267200" y="619124"/>
            <a:ext cx="3933825" cy="2667001"/>
          </a:xfrm>
          <a:prstGeom prst="roundRect">
            <a:avLst>
              <a:gd name="adj" fmla="val 9698"/>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 name="Chart 2">
            <a:extLst>
              <a:ext uri="{FF2B5EF4-FFF2-40B4-BE49-F238E27FC236}">
                <a16:creationId xmlns:a16="http://schemas.microsoft.com/office/drawing/2014/main" id="{6293509E-DFBE-4784-BC33-2F3E30EE8143}"/>
              </a:ext>
            </a:extLst>
          </xdr:cNvPr>
          <xdr:cNvGraphicFramePr>
            <a:graphicFrameLocks/>
          </xdr:cNvGraphicFramePr>
        </xdr:nvGraphicFramePr>
        <xdr:xfrm>
          <a:off x="4314825" y="762000"/>
          <a:ext cx="3820701" cy="2390774"/>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xdr:col>
      <xdr:colOff>200025</xdr:colOff>
      <xdr:row>21</xdr:row>
      <xdr:rowOff>69777</xdr:rowOff>
    </xdr:from>
    <xdr:to>
      <xdr:col>7</xdr:col>
      <xdr:colOff>142875</xdr:colOff>
      <xdr:row>32</xdr:row>
      <xdr:rowOff>104776</xdr:rowOff>
    </xdr:to>
    <xdr:grpSp>
      <xdr:nvGrpSpPr>
        <xdr:cNvPr id="23" name="Group 22">
          <a:extLst>
            <a:ext uri="{FF2B5EF4-FFF2-40B4-BE49-F238E27FC236}">
              <a16:creationId xmlns:a16="http://schemas.microsoft.com/office/drawing/2014/main" id="{F5872781-8F96-9A07-5291-828CE1C0EFF4}"/>
            </a:ext>
          </a:extLst>
        </xdr:cNvPr>
        <xdr:cNvGrpSpPr/>
      </xdr:nvGrpSpPr>
      <xdr:grpSpPr>
        <a:xfrm>
          <a:off x="813858" y="4070277"/>
          <a:ext cx="3901017" cy="2130499"/>
          <a:chOff x="542925" y="3371850"/>
          <a:chExt cx="3798269" cy="2181226"/>
        </a:xfrm>
      </xdr:grpSpPr>
      <xdr:sp macro="" textlink="">
        <xdr:nvSpPr>
          <xdr:cNvPr id="7" name="Rectangle: Rounded Corners 6">
            <a:extLst>
              <a:ext uri="{FF2B5EF4-FFF2-40B4-BE49-F238E27FC236}">
                <a16:creationId xmlns:a16="http://schemas.microsoft.com/office/drawing/2014/main" id="{F72F666A-00BA-4AD1-0D34-84A1F813FFE7}"/>
              </a:ext>
            </a:extLst>
          </xdr:cNvPr>
          <xdr:cNvSpPr/>
        </xdr:nvSpPr>
        <xdr:spPr>
          <a:xfrm>
            <a:off x="542925" y="3371850"/>
            <a:ext cx="3798269" cy="2181226"/>
          </a:xfrm>
          <a:prstGeom prst="roundRect">
            <a:avLst>
              <a:gd name="adj" fmla="val 9698"/>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 name="Chart 3">
            <a:extLst>
              <a:ext uri="{FF2B5EF4-FFF2-40B4-BE49-F238E27FC236}">
                <a16:creationId xmlns:a16="http://schemas.microsoft.com/office/drawing/2014/main" id="{67A92035-84D4-41BB-A3E6-2F0EBF7D398E}"/>
              </a:ext>
            </a:extLst>
          </xdr:cNvPr>
          <xdr:cNvGraphicFramePr>
            <a:graphicFrameLocks/>
          </xdr:cNvGraphicFramePr>
        </xdr:nvGraphicFramePr>
        <xdr:xfrm>
          <a:off x="661006" y="3409950"/>
          <a:ext cx="3575228" cy="207645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7</xdr:col>
      <xdr:colOff>396773</xdr:colOff>
      <xdr:row>21</xdr:row>
      <xdr:rowOff>166158</xdr:rowOff>
    </xdr:from>
    <xdr:to>
      <xdr:col>13</xdr:col>
      <xdr:colOff>189128</xdr:colOff>
      <xdr:row>32</xdr:row>
      <xdr:rowOff>51858</xdr:rowOff>
    </xdr:to>
    <xdr:grpSp>
      <xdr:nvGrpSpPr>
        <xdr:cNvPr id="24" name="Group 23">
          <a:extLst>
            <a:ext uri="{FF2B5EF4-FFF2-40B4-BE49-F238E27FC236}">
              <a16:creationId xmlns:a16="http://schemas.microsoft.com/office/drawing/2014/main" id="{9AEDB425-FF5B-0CB7-995F-703F44DE8AA5}"/>
            </a:ext>
          </a:extLst>
        </xdr:cNvPr>
        <xdr:cNvGrpSpPr/>
      </xdr:nvGrpSpPr>
      <xdr:grpSpPr>
        <a:xfrm>
          <a:off x="4968773" y="4166658"/>
          <a:ext cx="4523105" cy="1981200"/>
          <a:chOff x="4478956" y="3371850"/>
          <a:chExt cx="3798269" cy="2181226"/>
        </a:xfrm>
      </xdr:grpSpPr>
      <xdr:sp macro="" textlink="">
        <xdr:nvSpPr>
          <xdr:cNvPr id="15" name="Rectangle: Rounded Corners 14">
            <a:extLst>
              <a:ext uri="{FF2B5EF4-FFF2-40B4-BE49-F238E27FC236}">
                <a16:creationId xmlns:a16="http://schemas.microsoft.com/office/drawing/2014/main" id="{368FCA0D-0B05-2C6E-8E8F-CF6B668EF9C9}"/>
              </a:ext>
            </a:extLst>
          </xdr:cNvPr>
          <xdr:cNvSpPr/>
        </xdr:nvSpPr>
        <xdr:spPr>
          <a:xfrm>
            <a:off x="4478956" y="3371850"/>
            <a:ext cx="3798269" cy="2181226"/>
          </a:xfrm>
          <a:prstGeom prst="roundRect">
            <a:avLst>
              <a:gd name="adj" fmla="val 9698"/>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1" name="Chart 10">
            <a:extLst>
              <a:ext uri="{FF2B5EF4-FFF2-40B4-BE49-F238E27FC236}">
                <a16:creationId xmlns:a16="http://schemas.microsoft.com/office/drawing/2014/main" id="{81767C71-8B97-4CDF-A547-1ED9E0D8D653}"/>
              </a:ext>
            </a:extLst>
          </xdr:cNvPr>
          <xdr:cNvGraphicFramePr>
            <a:graphicFrameLocks/>
          </xdr:cNvGraphicFramePr>
        </xdr:nvGraphicFramePr>
        <xdr:xfrm>
          <a:off x="4610101" y="3427094"/>
          <a:ext cx="3514724" cy="2087881"/>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17</xdr:col>
      <xdr:colOff>152400</xdr:colOff>
      <xdr:row>16</xdr:row>
      <xdr:rowOff>66675</xdr:rowOff>
    </xdr:from>
    <xdr:to>
      <xdr:col>19</xdr:col>
      <xdr:colOff>491066</xdr:colOff>
      <xdr:row>21</xdr:row>
      <xdr:rowOff>114300</xdr:rowOff>
    </xdr:to>
    <mc:AlternateContent xmlns:mc="http://schemas.openxmlformats.org/markup-compatibility/2006">
      <mc:Choice xmlns:a14="http://schemas.microsoft.com/office/drawing/2010/main" Requires="a14">
        <xdr:graphicFrame macro="">
          <xdr:nvGraphicFramePr>
            <xdr:cNvPr id="16" name="Shift">
              <a:extLst>
                <a:ext uri="{FF2B5EF4-FFF2-40B4-BE49-F238E27FC236}">
                  <a16:creationId xmlns:a16="http://schemas.microsoft.com/office/drawing/2014/main" id="{9EABFFDE-B3E2-BF86-9DC1-933A192001F9}"/>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dr:sp macro="" textlink="">
          <xdr:nvSpPr>
            <xdr:cNvPr id="0" name=""/>
            <xdr:cNvSpPr>
              <a:spLocks noTextEdit="1"/>
            </xdr:cNvSpPr>
          </xdr:nvSpPr>
          <xdr:spPr>
            <a:xfrm>
              <a:off x="11910483" y="3114675"/>
              <a:ext cx="1841500" cy="1000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466725</xdr:colOff>
      <xdr:row>14</xdr:row>
      <xdr:rowOff>95250</xdr:rowOff>
    </xdr:from>
    <xdr:to>
      <xdr:col>17</xdr:col>
      <xdr:colOff>47625</xdr:colOff>
      <xdr:row>27</xdr:row>
      <xdr:rowOff>9525</xdr:rowOff>
    </xdr:to>
    <mc:AlternateContent xmlns:mc="http://schemas.openxmlformats.org/markup-compatibility/2006">
      <mc:Choice xmlns:a14="http://schemas.microsoft.com/office/drawing/2010/main" Requires="a14">
        <xdr:graphicFrame macro="">
          <xdr:nvGraphicFramePr>
            <xdr:cNvPr id="17" name="Item">
              <a:extLst>
                <a:ext uri="{FF2B5EF4-FFF2-40B4-BE49-F238E27FC236}">
                  <a16:creationId xmlns:a16="http://schemas.microsoft.com/office/drawing/2014/main" id="{9107E6CA-89FB-65B3-92FB-C110381DD88A}"/>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10383308" y="2762250"/>
              <a:ext cx="1422400" cy="2390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85725</xdr:colOff>
      <xdr:row>10</xdr:row>
      <xdr:rowOff>95250</xdr:rowOff>
    </xdr:from>
    <xdr:to>
      <xdr:col>19</xdr:col>
      <xdr:colOff>462491</xdr:colOff>
      <xdr:row>15</xdr:row>
      <xdr:rowOff>142875</xdr:rowOff>
    </xdr:to>
    <mc:AlternateContent xmlns:mc="http://schemas.openxmlformats.org/markup-compatibility/2006">
      <mc:Choice xmlns:a14="http://schemas.microsoft.com/office/drawing/2010/main" Requires="a14">
        <xdr:graphicFrame macro="">
          <xdr:nvGraphicFramePr>
            <xdr:cNvPr id="18" name="Category">
              <a:extLst>
                <a:ext uri="{FF2B5EF4-FFF2-40B4-BE49-F238E27FC236}">
                  <a16:creationId xmlns:a16="http://schemas.microsoft.com/office/drawing/2014/main" id="{CC639AA4-A3E6-93BD-8316-5810D14AB79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843808" y="2000250"/>
              <a:ext cx="1879600" cy="1000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104775</xdr:colOff>
      <xdr:row>4</xdr:row>
      <xdr:rowOff>123825</xdr:rowOff>
    </xdr:from>
    <xdr:to>
      <xdr:col>19</xdr:col>
      <xdr:colOff>443441</xdr:colOff>
      <xdr:row>10</xdr:row>
      <xdr:rowOff>9525</xdr:rowOff>
    </xdr:to>
    <mc:AlternateContent xmlns:mc="http://schemas.openxmlformats.org/markup-compatibility/2006">
      <mc:Choice xmlns:a14="http://schemas.microsoft.com/office/drawing/2010/main" Requires="a14">
        <xdr:graphicFrame macro="">
          <xdr:nvGraphicFramePr>
            <xdr:cNvPr id="19" name="Payment_Method">
              <a:extLst>
                <a:ext uri="{FF2B5EF4-FFF2-40B4-BE49-F238E27FC236}">
                  <a16:creationId xmlns:a16="http://schemas.microsoft.com/office/drawing/2014/main" id="{132B814F-A867-2B39-0A57-BB0E2FECF308}"/>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1862858" y="885825"/>
              <a:ext cx="184150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533401</xdr:colOff>
      <xdr:row>4</xdr:row>
      <xdr:rowOff>85725</xdr:rowOff>
    </xdr:from>
    <xdr:to>
      <xdr:col>16</xdr:col>
      <xdr:colOff>552449</xdr:colOff>
      <xdr:row>14</xdr:row>
      <xdr:rowOff>57150</xdr:rowOff>
    </xdr:to>
    <mc:AlternateContent xmlns:mc="http://schemas.openxmlformats.org/markup-compatibility/2006">
      <mc:Choice xmlns:a14="http://schemas.microsoft.com/office/drawing/2010/main" Requires="a14">
        <xdr:graphicFrame macro="">
          <xdr:nvGraphicFramePr>
            <xdr:cNvPr id="20" name="Staff">
              <a:extLst>
                <a:ext uri="{FF2B5EF4-FFF2-40B4-BE49-F238E27FC236}">
                  <a16:creationId xmlns:a16="http://schemas.microsoft.com/office/drawing/2014/main" id="{960718A8-1AE1-597E-F7CC-F0CD7D65AF2C}"/>
                </a:ext>
              </a:extLst>
            </xdr:cNvPr>
            <xdr:cNvGraphicFramePr/>
          </xdr:nvGraphicFramePr>
          <xdr:xfrm>
            <a:off x="0" y="0"/>
            <a:ext cx="0" cy="0"/>
          </xdr:xfrm>
          <a:graphic>
            <a:graphicData uri="http://schemas.microsoft.com/office/drawing/2010/slicer">
              <sle:slicer xmlns:sle="http://schemas.microsoft.com/office/drawing/2010/slicer" name="Staff"/>
            </a:graphicData>
          </a:graphic>
        </xdr:graphicFrame>
      </mc:Choice>
      <mc:Fallback>
        <xdr:sp macro="" textlink="">
          <xdr:nvSpPr>
            <xdr:cNvPr id="0" name=""/>
            <xdr:cNvSpPr>
              <a:spLocks noTextEdit="1"/>
            </xdr:cNvSpPr>
          </xdr:nvSpPr>
          <xdr:spPr>
            <a:xfrm>
              <a:off x="10449984" y="847725"/>
              <a:ext cx="1246715" cy="1876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52915</xdr:colOff>
      <xdr:row>3</xdr:row>
      <xdr:rowOff>127000</xdr:rowOff>
    </xdr:from>
    <xdr:to>
      <xdr:col>12</xdr:col>
      <xdr:colOff>814917</xdr:colOff>
      <xdr:row>7</xdr:row>
      <xdr:rowOff>169333</xdr:rowOff>
    </xdr:to>
    <xdr:sp macro="" textlink="">
      <xdr:nvSpPr>
        <xdr:cNvPr id="26" name="Rectangle: Rounded Corners 25">
          <a:extLst>
            <a:ext uri="{FF2B5EF4-FFF2-40B4-BE49-F238E27FC236}">
              <a16:creationId xmlns:a16="http://schemas.microsoft.com/office/drawing/2014/main" id="{046C0858-5103-0D79-410B-AA20C5C545EA}"/>
            </a:ext>
          </a:extLst>
        </xdr:cNvPr>
        <xdr:cNvSpPr/>
      </xdr:nvSpPr>
      <xdr:spPr>
        <a:xfrm>
          <a:off x="1280582" y="698500"/>
          <a:ext cx="7948085" cy="8043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264584</xdr:colOff>
      <xdr:row>4</xdr:row>
      <xdr:rowOff>52916</xdr:rowOff>
    </xdr:from>
    <xdr:to>
      <xdr:col>4</xdr:col>
      <xdr:colOff>84667</xdr:colOff>
      <xdr:row>7</xdr:row>
      <xdr:rowOff>43016</xdr:rowOff>
    </xdr:to>
    <xdr:sp macro="" textlink="">
      <xdr:nvSpPr>
        <xdr:cNvPr id="27" name="TextBox 26">
          <a:extLst>
            <a:ext uri="{FF2B5EF4-FFF2-40B4-BE49-F238E27FC236}">
              <a16:creationId xmlns:a16="http://schemas.microsoft.com/office/drawing/2014/main" id="{8F7F668B-5FE2-6F2E-4928-665E38A5B7C7}"/>
            </a:ext>
          </a:extLst>
        </xdr:cNvPr>
        <xdr:cNvSpPr txBox="1"/>
      </xdr:nvSpPr>
      <xdr:spPr>
        <a:xfrm>
          <a:off x="1492251" y="814916"/>
          <a:ext cx="1322916" cy="5616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rgbClr val="000000"/>
              </a:solidFill>
              <a:effectLst/>
              <a:latin typeface="Aptos Narrow" panose="020B0004020202020204" pitchFamily="34" charset="0"/>
            </a:rPr>
            <a:t>Total Revenue </a:t>
          </a:r>
        </a:p>
        <a:p>
          <a:r>
            <a:rPr lang="en-IN" sz="1400" b="0" i="0" u="none" strike="noStrike">
              <a:solidFill>
                <a:srgbClr val="000000"/>
              </a:solidFill>
              <a:effectLst/>
              <a:latin typeface="Aptos Narrow" panose="020B0004020202020204" pitchFamily="34" charset="0"/>
            </a:rPr>
            <a:t>₹11,810.00</a:t>
          </a:r>
          <a:r>
            <a:rPr lang="en-IN" sz="1400">
              <a:effectLst/>
            </a:rPr>
            <a:t> </a:t>
          </a:r>
          <a:endParaRPr lang="en-IN" sz="1400"/>
        </a:p>
      </xdr:txBody>
    </xdr:sp>
    <xdr:clientData/>
  </xdr:twoCellAnchor>
  <xdr:twoCellAnchor>
    <xdr:from>
      <xdr:col>8</xdr:col>
      <xdr:colOff>772584</xdr:colOff>
      <xdr:row>4</xdr:row>
      <xdr:rowOff>42335</xdr:rowOff>
    </xdr:from>
    <xdr:to>
      <xdr:col>10</xdr:col>
      <xdr:colOff>656166</xdr:colOff>
      <xdr:row>7</xdr:row>
      <xdr:rowOff>32435</xdr:rowOff>
    </xdr:to>
    <xdr:sp macro="" textlink="">
      <xdr:nvSpPr>
        <xdr:cNvPr id="28" name="TextBox 27">
          <a:extLst>
            <a:ext uri="{FF2B5EF4-FFF2-40B4-BE49-F238E27FC236}">
              <a16:creationId xmlns:a16="http://schemas.microsoft.com/office/drawing/2014/main" id="{AB0D4433-DFAC-A22D-7962-BA8DA7850D2C}"/>
            </a:ext>
          </a:extLst>
        </xdr:cNvPr>
        <xdr:cNvSpPr txBox="1"/>
      </xdr:nvSpPr>
      <xdr:spPr>
        <a:xfrm>
          <a:off x="5958417" y="804335"/>
          <a:ext cx="1386416" cy="5616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dk1"/>
              </a:solidFill>
              <a:effectLst/>
              <a:latin typeface="+mn-lt"/>
              <a:ea typeface="+mn-ea"/>
              <a:cs typeface="+mn-cs"/>
            </a:rPr>
            <a:t>Food Revenue</a:t>
          </a:r>
          <a:r>
            <a:rPr lang="en-IN" sz="1400">
              <a:effectLst/>
            </a:rPr>
            <a:t> </a:t>
          </a:r>
        </a:p>
        <a:p>
          <a:r>
            <a:rPr lang="en-IN" sz="1400" b="0" i="0" u="none" strike="noStrike">
              <a:solidFill>
                <a:schemeClr val="dk1"/>
              </a:solidFill>
              <a:effectLst/>
              <a:latin typeface="+mn-lt"/>
              <a:ea typeface="+mn-ea"/>
              <a:cs typeface="+mn-cs"/>
            </a:rPr>
            <a:t>₹ 10,160.00</a:t>
          </a:r>
          <a:r>
            <a:rPr lang="en-IN" sz="1400">
              <a:effectLst/>
            </a:rPr>
            <a:t> </a:t>
          </a:r>
          <a:endParaRPr lang="en-IN" sz="1400"/>
        </a:p>
      </xdr:txBody>
    </xdr:sp>
    <xdr:clientData/>
  </xdr:twoCellAnchor>
  <xdr:twoCellAnchor>
    <xdr:from>
      <xdr:col>6</xdr:col>
      <xdr:colOff>243416</xdr:colOff>
      <xdr:row>4</xdr:row>
      <xdr:rowOff>42332</xdr:rowOff>
    </xdr:from>
    <xdr:to>
      <xdr:col>8</xdr:col>
      <xdr:colOff>677333</xdr:colOff>
      <xdr:row>7</xdr:row>
      <xdr:rowOff>32432</xdr:rowOff>
    </xdr:to>
    <xdr:sp macro="" textlink="">
      <xdr:nvSpPr>
        <xdr:cNvPr id="29" name="TextBox 28">
          <a:extLst>
            <a:ext uri="{FF2B5EF4-FFF2-40B4-BE49-F238E27FC236}">
              <a16:creationId xmlns:a16="http://schemas.microsoft.com/office/drawing/2014/main" id="{74115FAB-DA5E-9973-CD0D-1E90611DD399}"/>
            </a:ext>
          </a:extLst>
        </xdr:cNvPr>
        <xdr:cNvSpPr txBox="1"/>
      </xdr:nvSpPr>
      <xdr:spPr>
        <a:xfrm>
          <a:off x="4201583" y="804332"/>
          <a:ext cx="1661583" cy="5616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dk1"/>
              </a:solidFill>
              <a:effectLst/>
              <a:latin typeface="+mn-lt"/>
              <a:ea typeface="+mn-ea"/>
              <a:cs typeface="+mn-cs"/>
            </a:rPr>
            <a:t>Average Order Value</a:t>
          </a:r>
          <a:r>
            <a:rPr lang="en-IN" sz="1400">
              <a:effectLst/>
            </a:rPr>
            <a:t> </a:t>
          </a:r>
        </a:p>
        <a:p>
          <a:r>
            <a:rPr lang="en-IN" sz="1400" b="0" i="0" u="none" strike="noStrike">
              <a:solidFill>
                <a:schemeClr val="dk1"/>
              </a:solidFill>
              <a:effectLst/>
              <a:latin typeface="+mn-lt"/>
              <a:ea typeface="+mn-ea"/>
              <a:cs typeface="+mn-cs"/>
            </a:rPr>
            <a:t>590.5</a:t>
          </a:r>
          <a:r>
            <a:rPr lang="en-IN" sz="1400">
              <a:effectLst/>
            </a:rPr>
            <a:t> </a:t>
          </a:r>
          <a:endParaRPr lang="en-IN" sz="1400"/>
        </a:p>
      </xdr:txBody>
    </xdr:sp>
    <xdr:clientData/>
  </xdr:twoCellAnchor>
  <xdr:twoCellAnchor>
    <xdr:from>
      <xdr:col>4</xdr:col>
      <xdr:colOff>190501</xdr:colOff>
      <xdr:row>4</xdr:row>
      <xdr:rowOff>42333</xdr:rowOff>
    </xdr:from>
    <xdr:to>
      <xdr:col>6</xdr:col>
      <xdr:colOff>150284</xdr:colOff>
      <xdr:row>7</xdr:row>
      <xdr:rowOff>32433</xdr:rowOff>
    </xdr:to>
    <xdr:sp macro="" textlink="">
      <xdr:nvSpPr>
        <xdr:cNvPr id="30" name="TextBox 29">
          <a:extLst>
            <a:ext uri="{FF2B5EF4-FFF2-40B4-BE49-F238E27FC236}">
              <a16:creationId xmlns:a16="http://schemas.microsoft.com/office/drawing/2014/main" id="{525BAEFF-8625-93E6-C412-F85ADEFA5CE2}"/>
            </a:ext>
          </a:extLst>
        </xdr:cNvPr>
        <xdr:cNvSpPr txBox="1"/>
      </xdr:nvSpPr>
      <xdr:spPr>
        <a:xfrm>
          <a:off x="2921001" y="804333"/>
          <a:ext cx="1187450" cy="5616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rgbClr val="000000"/>
              </a:solidFill>
              <a:effectLst/>
              <a:latin typeface="Aptos Narrow" panose="020B0004020202020204" pitchFamily="34" charset="0"/>
            </a:rPr>
            <a:t>Total Orders</a:t>
          </a:r>
          <a:r>
            <a:rPr lang="en-IN" sz="1400">
              <a:effectLst/>
            </a:rPr>
            <a:t> </a:t>
          </a:r>
        </a:p>
        <a:p>
          <a:r>
            <a:rPr lang="en-IN" sz="1400" b="0" i="0" u="none" strike="noStrike">
              <a:solidFill>
                <a:srgbClr val="000000"/>
              </a:solidFill>
              <a:effectLst/>
              <a:latin typeface="Aptos Narrow" panose="020B0004020202020204" pitchFamily="34" charset="0"/>
            </a:rPr>
            <a:t>20</a:t>
          </a:r>
          <a:r>
            <a:rPr lang="en-IN" sz="1400">
              <a:effectLst/>
            </a:rPr>
            <a:t> </a:t>
          </a:r>
          <a:endParaRPr lang="en-IN" sz="1400"/>
        </a:p>
      </xdr:txBody>
    </xdr:sp>
    <xdr:clientData/>
  </xdr:twoCellAnchor>
  <xdr:twoCellAnchor>
    <xdr:from>
      <xdr:col>10</xdr:col>
      <xdr:colOff>751416</xdr:colOff>
      <xdr:row>4</xdr:row>
      <xdr:rowOff>42335</xdr:rowOff>
    </xdr:from>
    <xdr:to>
      <xdr:col>12</xdr:col>
      <xdr:colOff>677333</xdr:colOff>
      <xdr:row>7</xdr:row>
      <xdr:rowOff>31751</xdr:rowOff>
    </xdr:to>
    <xdr:sp macro="" textlink="">
      <xdr:nvSpPr>
        <xdr:cNvPr id="31" name="TextBox 30">
          <a:extLst>
            <a:ext uri="{FF2B5EF4-FFF2-40B4-BE49-F238E27FC236}">
              <a16:creationId xmlns:a16="http://schemas.microsoft.com/office/drawing/2014/main" id="{1893213E-ED66-EE9E-E332-5C721E0A8B48}"/>
            </a:ext>
          </a:extLst>
        </xdr:cNvPr>
        <xdr:cNvSpPr txBox="1"/>
      </xdr:nvSpPr>
      <xdr:spPr>
        <a:xfrm>
          <a:off x="7440083" y="804335"/>
          <a:ext cx="1651000" cy="560916"/>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dk1"/>
              </a:solidFill>
              <a:effectLst/>
              <a:latin typeface="+mn-lt"/>
              <a:ea typeface="+mn-ea"/>
              <a:cs typeface="+mn-cs"/>
            </a:rPr>
            <a:t>Beverage Revenue</a:t>
          </a:r>
        </a:p>
        <a:p>
          <a:r>
            <a:rPr lang="en-IN" sz="1400" b="0" i="0" u="none" strike="noStrike">
              <a:solidFill>
                <a:schemeClr val="dk1"/>
              </a:solidFill>
              <a:effectLst/>
              <a:latin typeface="+mn-lt"/>
              <a:ea typeface="+mn-ea"/>
              <a:cs typeface="+mn-cs"/>
            </a:rPr>
            <a:t>₹ 1,650.00</a:t>
          </a:r>
          <a:endParaRPr lang="en-IN"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9.359759375002" createdVersion="8" refreshedVersion="8" minRefreshableVersion="3" recordCount="20" xr:uid="{0B6EAE43-1DB4-492A-B47E-DB919CBE8C51}">
  <cacheSource type="worksheet">
    <worksheetSource name="Table1"/>
  </cacheSource>
  <cacheFields count="11">
    <cacheField name="Order_ID" numFmtId="0">
      <sharedItems containsSemiMixedTypes="0" containsString="0" containsNumber="1" containsInteger="1" minValue="1001" maxValue="1020"/>
    </cacheField>
    <cacheField name="Date" numFmtId="14">
      <sharedItems containsSemiMixedTypes="0" containsNonDate="0" containsDate="1" containsString="0" minDate="2025-06-01T00:00:00" maxDate="2025-06-05T00:00:00"/>
    </cacheField>
    <cacheField name="Shift" numFmtId="0">
      <sharedItems count="2">
        <s v="Morning"/>
        <s v="Evening"/>
      </sharedItems>
    </cacheField>
    <cacheField name="Table_No" numFmtId="0">
      <sharedItems containsSemiMixedTypes="0" containsString="0" containsNumber="1" containsInteger="1" minValue="3" maxValue="40"/>
    </cacheField>
    <cacheField name="Item" numFmtId="0">
      <sharedItems count="7">
        <s v="Cappuccino"/>
        <s v="Pizza"/>
        <s v="Pasta"/>
        <s v="Biryani"/>
        <s v="Dal Makhani"/>
        <s v="Chinese"/>
        <s v="Paneer Do Pyaza"/>
      </sharedItems>
    </cacheField>
    <cacheField name="Category" numFmtId="0">
      <sharedItems count="2">
        <s v="Beverage"/>
        <s v="Food"/>
      </sharedItems>
    </cacheField>
    <cacheField name="Quantity" numFmtId="0">
      <sharedItems containsSemiMixedTypes="0" containsString="0" containsNumber="1" containsInteger="1" minValue="1" maxValue="3"/>
    </cacheField>
    <cacheField name="Revenue" numFmtId="168">
      <sharedItems containsSemiMixedTypes="0" containsString="0" containsNumber="1" containsInteger="1" minValue="150" maxValue="1350"/>
    </cacheField>
    <cacheField name="Payment_Method" numFmtId="0">
      <sharedItems count="2">
        <s v="UPI"/>
        <s v="Cash"/>
      </sharedItems>
    </cacheField>
    <cacheField name="Staff" numFmtId="0">
      <sharedItems count="5">
        <s v="Amaan"/>
        <s v="Ali"/>
        <s v="Ahmed"/>
        <s v="Hamza"/>
        <s v="Rehan"/>
      </sharedItems>
    </cacheField>
    <cacheField name="Column1" numFmtId="0">
      <sharedItems containsString="0" containsBlank="1" containsNumber="1" containsInteger="1" minValue="2100" maxValue="9710"/>
    </cacheField>
  </cacheFields>
  <extLst>
    <ext xmlns:x14="http://schemas.microsoft.com/office/spreadsheetml/2009/9/main" uri="{725AE2AE-9491-48be-B2B4-4EB974FC3084}">
      <x14:pivotCacheDefinition pivotCacheId="12008983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d v="2025-06-01T00:00:00"/>
    <x v="0"/>
    <n v="5"/>
    <x v="0"/>
    <x v="0"/>
    <n v="2"/>
    <n v="300"/>
    <x v="0"/>
    <x v="0"/>
    <n v="2100"/>
  </r>
  <r>
    <n v="1002"/>
    <d v="2025-06-01T00:00:00"/>
    <x v="0"/>
    <n v="8"/>
    <x v="1"/>
    <x v="1"/>
    <n v="1"/>
    <n v="450"/>
    <x v="1"/>
    <x v="1"/>
    <n v="9710"/>
  </r>
  <r>
    <n v="1003"/>
    <d v="2025-06-01T00:00:00"/>
    <x v="1"/>
    <n v="12"/>
    <x v="2"/>
    <x v="1"/>
    <n v="2"/>
    <n v="700"/>
    <x v="0"/>
    <x v="2"/>
    <m/>
  </r>
  <r>
    <n v="1004"/>
    <d v="2025-06-01T00:00:00"/>
    <x v="1"/>
    <n v="15"/>
    <x v="3"/>
    <x v="1"/>
    <n v="2"/>
    <n v="800"/>
    <x v="1"/>
    <x v="3"/>
    <m/>
  </r>
  <r>
    <n v="1005"/>
    <d v="2025-06-01T00:00:00"/>
    <x v="1"/>
    <n v="22"/>
    <x v="4"/>
    <x v="1"/>
    <n v="1"/>
    <n v="350"/>
    <x v="0"/>
    <x v="4"/>
    <m/>
  </r>
  <r>
    <n v="1006"/>
    <d v="2025-06-02T00:00:00"/>
    <x v="0"/>
    <n v="4"/>
    <x v="0"/>
    <x v="0"/>
    <n v="1"/>
    <n v="150"/>
    <x v="1"/>
    <x v="0"/>
    <m/>
  </r>
  <r>
    <n v="1007"/>
    <d v="2025-06-02T00:00:00"/>
    <x v="1"/>
    <n v="18"/>
    <x v="1"/>
    <x v="1"/>
    <n v="2"/>
    <n v="900"/>
    <x v="0"/>
    <x v="1"/>
    <m/>
  </r>
  <r>
    <n v="1008"/>
    <d v="2025-06-02T00:00:00"/>
    <x v="1"/>
    <n v="25"/>
    <x v="5"/>
    <x v="1"/>
    <n v="2"/>
    <n v="600"/>
    <x v="1"/>
    <x v="2"/>
    <m/>
  </r>
  <r>
    <n v="1009"/>
    <d v="2025-06-02T00:00:00"/>
    <x v="1"/>
    <n v="10"/>
    <x v="6"/>
    <x v="1"/>
    <n v="1"/>
    <n v="420"/>
    <x v="0"/>
    <x v="3"/>
    <m/>
  </r>
  <r>
    <n v="1010"/>
    <d v="2025-06-02T00:00:00"/>
    <x v="0"/>
    <n v="6"/>
    <x v="0"/>
    <x v="0"/>
    <n v="3"/>
    <n v="450"/>
    <x v="1"/>
    <x v="4"/>
    <m/>
  </r>
  <r>
    <n v="1011"/>
    <d v="2025-06-03T00:00:00"/>
    <x v="1"/>
    <n v="14"/>
    <x v="1"/>
    <x v="1"/>
    <n v="2"/>
    <n v="900"/>
    <x v="0"/>
    <x v="0"/>
    <m/>
  </r>
  <r>
    <n v="1012"/>
    <d v="2025-06-03T00:00:00"/>
    <x v="1"/>
    <n v="19"/>
    <x v="2"/>
    <x v="1"/>
    <n v="1"/>
    <n v="350"/>
    <x v="1"/>
    <x v="1"/>
    <m/>
  </r>
  <r>
    <n v="1013"/>
    <d v="2025-06-03T00:00:00"/>
    <x v="0"/>
    <n v="3"/>
    <x v="0"/>
    <x v="0"/>
    <n v="2"/>
    <n v="300"/>
    <x v="0"/>
    <x v="2"/>
    <m/>
  </r>
  <r>
    <n v="1014"/>
    <d v="2025-06-03T00:00:00"/>
    <x v="1"/>
    <n v="27"/>
    <x v="3"/>
    <x v="1"/>
    <n v="3"/>
    <n v="1200"/>
    <x v="1"/>
    <x v="3"/>
    <m/>
  </r>
  <r>
    <n v="1015"/>
    <d v="2025-06-03T00:00:00"/>
    <x v="1"/>
    <n v="30"/>
    <x v="5"/>
    <x v="1"/>
    <n v="2"/>
    <n v="600"/>
    <x v="0"/>
    <x v="4"/>
    <m/>
  </r>
  <r>
    <n v="1016"/>
    <d v="2025-06-04T00:00:00"/>
    <x v="0"/>
    <n v="9"/>
    <x v="0"/>
    <x v="0"/>
    <n v="1"/>
    <n v="150"/>
    <x v="0"/>
    <x v="0"/>
    <m/>
  </r>
  <r>
    <n v="1017"/>
    <d v="2025-06-04T00:00:00"/>
    <x v="1"/>
    <n v="35"/>
    <x v="1"/>
    <x v="1"/>
    <n v="3"/>
    <n v="1350"/>
    <x v="1"/>
    <x v="1"/>
    <m/>
  </r>
  <r>
    <n v="1018"/>
    <d v="2025-06-04T00:00:00"/>
    <x v="1"/>
    <n v="40"/>
    <x v="6"/>
    <x v="1"/>
    <n v="2"/>
    <n v="840"/>
    <x v="0"/>
    <x v="2"/>
    <m/>
  </r>
  <r>
    <n v="1019"/>
    <d v="2025-06-04T00:00:00"/>
    <x v="1"/>
    <n v="20"/>
    <x v="4"/>
    <x v="1"/>
    <n v="2"/>
    <n v="700"/>
    <x v="1"/>
    <x v="3"/>
    <m/>
  </r>
  <r>
    <n v="1020"/>
    <d v="2025-06-04T00:00:00"/>
    <x v="0"/>
    <n v="7"/>
    <x v="0"/>
    <x v="0"/>
    <n v="2"/>
    <n v="300"/>
    <x v="0"/>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D34FC1-FD37-4F9B-875C-07FEC1DC5B44}"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6:G9" firstHeaderRow="1" firstDataRow="1" firstDataCol="1"/>
  <pivotFields count="11">
    <pivotField showAll="0"/>
    <pivotField numFmtId="14" showAll="0"/>
    <pivotField showAll="0">
      <items count="3">
        <item x="1"/>
        <item x="0"/>
        <item t="default"/>
      </items>
    </pivotField>
    <pivotField showAll="0"/>
    <pivotField showAll="0">
      <items count="8">
        <item x="3"/>
        <item x="0"/>
        <item x="5"/>
        <item x="4"/>
        <item x="6"/>
        <item x="2"/>
        <item x="1"/>
        <item t="default"/>
      </items>
    </pivotField>
    <pivotField showAll="0">
      <items count="3">
        <item x="0"/>
        <item x="1"/>
        <item t="default"/>
      </items>
    </pivotField>
    <pivotField showAll="0"/>
    <pivotField dataField="1" numFmtId="168" showAll="0"/>
    <pivotField axis="axisRow" showAll="0">
      <items count="3">
        <item x="1"/>
        <item x="0"/>
        <item t="default"/>
      </items>
    </pivotField>
    <pivotField showAll="0">
      <items count="6">
        <item x="2"/>
        <item x="1"/>
        <item x="0"/>
        <item x="3"/>
        <item x="4"/>
        <item t="default"/>
      </items>
    </pivotField>
    <pivotField showAll="0"/>
  </pivotFields>
  <rowFields count="1">
    <field x="8"/>
  </rowFields>
  <rowItems count="3">
    <i>
      <x/>
    </i>
    <i>
      <x v="1"/>
    </i>
    <i t="grand">
      <x/>
    </i>
  </rowItems>
  <colItems count="1">
    <i/>
  </colItems>
  <dataFields count="1">
    <dataField name="Sum of Revenue" fld="7" baseField="0" baseItem="0" numFmtId="168"/>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8" count="1" selected="0">
            <x v="0"/>
          </reference>
        </references>
      </pivotArea>
    </chartFormat>
    <chartFormat chart="3"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C0DAD8-137E-46A6-8C53-912392DC39FC}"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3:C29" firstHeaderRow="1" firstDataRow="1" firstDataCol="1"/>
  <pivotFields count="11">
    <pivotField showAll="0"/>
    <pivotField numFmtId="14" showAll="0"/>
    <pivotField showAll="0">
      <items count="3">
        <item x="1"/>
        <item x="0"/>
        <item t="default"/>
      </items>
    </pivotField>
    <pivotField showAll="0"/>
    <pivotField showAll="0">
      <items count="8">
        <item x="3"/>
        <item x="0"/>
        <item x="5"/>
        <item x="4"/>
        <item x="6"/>
        <item x="2"/>
        <item x="1"/>
        <item t="default"/>
      </items>
    </pivotField>
    <pivotField showAll="0">
      <items count="3">
        <item x="0"/>
        <item x="1"/>
        <item t="default"/>
      </items>
    </pivotField>
    <pivotField showAll="0"/>
    <pivotField dataField="1" numFmtId="168" showAll="0"/>
    <pivotField showAll="0">
      <items count="3">
        <item x="1"/>
        <item x="0"/>
        <item t="default"/>
      </items>
    </pivotField>
    <pivotField axis="axisRow" showAll="0" sortType="descending">
      <items count="6">
        <item x="2"/>
        <item x="1"/>
        <item x="0"/>
        <item x="3"/>
        <item x="4"/>
        <item t="default"/>
      </items>
      <autoSortScope>
        <pivotArea dataOnly="0" outline="0" fieldPosition="0">
          <references count="1">
            <reference field="4294967294" count="1" selected="0">
              <x v="0"/>
            </reference>
          </references>
        </pivotArea>
      </autoSortScope>
    </pivotField>
    <pivotField showAll="0"/>
  </pivotFields>
  <rowFields count="1">
    <field x="9"/>
  </rowFields>
  <rowItems count="6">
    <i>
      <x v="3"/>
    </i>
    <i>
      <x v="1"/>
    </i>
    <i>
      <x/>
    </i>
    <i>
      <x v="4"/>
    </i>
    <i>
      <x v="2"/>
    </i>
    <i t="grand">
      <x/>
    </i>
  </rowItems>
  <colItems count="1">
    <i/>
  </colItems>
  <dataFields count="1">
    <dataField name="Sum of Revenue" fld="7" baseField="0" baseItem="0" numFmtId="168"/>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D28032-2064-4732-8019-8BED8B2A0985}"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12:C20" firstHeaderRow="1" firstDataRow="1" firstDataCol="1"/>
  <pivotFields count="11">
    <pivotField showAll="0"/>
    <pivotField numFmtId="14" showAll="0"/>
    <pivotField showAll="0">
      <items count="3">
        <item x="1"/>
        <item x="0"/>
        <item t="default"/>
      </items>
    </pivotField>
    <pivotField showAll="0"/>
    <pivotField axis="axisRow" showAll="0" sortType="descending">
      <items count="8">
        <item x="3"/>
        <item x="0"/>
        <item x="5"/>
        <item x="4"/>
        <item x="6"/>
        <item x="2"/>
        <item x="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dataField="1" numFmtId="168" showAll="0"/>
    <pivotField showAll="0">
      <items count="3">
        <item x="1"/>
        <item x="0"/>
        <item t="default"/>
      </items>
    </pivotField>
    <pivotField showAll="0">
      <items count="6">
        <item x="2"/>
        <item x="1"/>
        <item x="0"/>
        <item x="3"/>
        <item x="4"/>
        <item t="default"/>
      </items>
    </pivotField>
    <pivotField showAll="0"/>
  </pivotFields>
  <rowFields count="1">
    <field x="4"/>
  </rowFields>
  <rowItems count="8">
    <i>
      <x v="6"/>
    </i>
    <i>
      <x/>
    </i>
    <i>
      <x v="1"/>
    </i>
    <i>
      <x v="4"/>
    </i>
    <i>
      <x v="2"/>
    </i>
    <i>
      <x v="5"/>
    </i>
    <i>
      <x v="3"/>
    </i>
    <i t="grand">
      <x/>
    </i>
  </rowItems>
  <colItems count="1">
    <i/>
  </colItems>
  <dataFields count="1">
    <dataField name="Sum of Revenue" fld="7" baseField="0" baseItem="0" numFmtId="168"/>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A34E65-6A93-4BC8-B7C3-929D8ADAA0BC}"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6:C9" firstHeaderRow="1" firstDataRow="1" firstDataCol="1"/>
  <pivotFields count="11">
    <pivotField showAll="0"/>
    <pivotField numFmtId="14"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items count="8">
        <item x="3"/>
        <item x="0"/>
        <item x="5"/>
        <item x="4"/>
        <item x="6"/>
        <item x="2"/>
        <item x="1"/>
        <item t="default"/>
      </items>
    </pivotField>
    <pivotField showAll="0">
      <items count="3">
        <item x="0"/>
        <item x="1"/>
        <item t="default"/>
      </items>
    </pivotField>
    <pivotField showAll="0"/>
    <pivotField dataField="1" numFmtId="168" showAll="0"/>
    <pivotField showAll="0">
      <items count="3">
        <item x="1"/>
        <item x="0"/>
        <item t="default"/>
      </items>
    </pivotField>
    <pivotField showAll="0">
      <items count="6">
        <item x="2"/>
        <item x="1"/>
        <item x="0"/>
        <item x="3"/>
        <item x="4"/>
        <item t="default"/>
      </items>
    </pivotField>
    <pivotField showAll="0"/>
  </pivotFields>
  <rowFields count="1">
    <field x="2"/>
  </rowFields>
  <rowItems count="3">
    <i>
      <x/>
    </i>
    <i>
      <x v="1"/>
    </i>
    <i t="grand">
      <x/>
    </i>
  </rowItems>
  <colItems count="1">
    <i/>
  </colItems>
  <dataFields count="1">
    <dataField name="Sum of Revenue" fld="7" baseField="0" baseItem="0" numFmtId="168"/>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AEFE5A80-A6A0-4CF4-B91C-56EAB6997837}" sourceName="Shift">
  <pivotTables>
    <pivotTable tabId="3" name="PivotTable1"/>
    <pivotTable tabId="3" name="PivotTable2"/>
    <pivotTable tabId="3" name="PivotTable3"/>
    <pivotTable tabId="3" name="PivotTable4"/>
  </pivotTables>
  <data>
    <tabular pivotCacheId="120089830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F31DE059-0073-47D7-8DF4-D1F10CC95FD1}" sourceName="Item">
  <pivotTables>
    <pivotTable tabId="3" name="PivotTable1"/>
    <pivotTable tabId="3" name="PivotTable2"/>
    <pivotTable tabId="3" name="PivotTable3"/>
    <pivotTable tabId="3" name="PivotTable4"/>
  </pivotTables>
  <data>
    <tabular pivotCacheId="1200898306">
      <items count="7">
        <i x="3" s="1"/>
        <i x="0" s="1"/>
        <i x="5" s="1"/>
        <i x="4" s="1"/>
        <i x="6"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3F9488A-6029-43A5-95FD-E683CC80F69D}" sourceName="Category">
  <pivotTables>
    <pivotTable tabId="3" name="PivotTable1"/>
    <pivotTable tabId="3" name="PivotTable2"/>
    <pivotTable tabId="3" name="PivotTable3"/>
    <pivotTable tabId="3" name="PivotTable4"/>
  </pivotTables>
  <data>
    <tabular pivotCacheId="120089830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8EA4525-A293-40A4-BC1C-1962BC9B62B7}" sourceName="Payment_Method">
  <pivotTables>
    <pivotTable tabId="3" name="PivotTable1"/>
    <pivotTable tabId="3" name="PivotTable2"/>
    <pivotTable tabId="3" name="PivotTable3"/>
    <pivotTable tabId="3" name="PivotTable4"/>
  </pivotTables>
  <data>
    <tabular pivotCacheId="1200898306">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ff" xr10:uid="{4E6C24F0-2250-4DDE-AD71-D0EDB482F288}" sourceName="Staff">
  <pivotTables>
    <pivotTable tabId="3" name="PivotTable1"/>
    <pivotTable tabId="3" name="PivotTable2"/>
    <pivotTable tabId="3" name="PivotTable3"/>
    <pivotTable tabId="3" name="PivotTable4"/>
  </pivotTables>
  <data>
    <tabular pivotCacheId="1200898306">
      <items count="5">
        <i x="2" s="1"/>
        <i x="1" s="1"/>
        <i x="0"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ft" xr10:uid="{637848EF-A55D-4413-8439-9C3D3E706E2F}" cache="Slicer_Shift" caption="Shift" rowHeight="257175"/>
  <slicer name="Item" xr10:uid="{FAFB12AD-4E56-41E5-B732-C78FC1EBFDE4}" cache="Slicer_Item" caption="Item" rowHeight="257175"/>
  <slicer name="Category" xr10:uid="{3547A939-CD69-4142-8735-8450EE5EF2A3}" cache="Slicer_Category" caption="Category" rowHeight="257175"/>
  <slicer name="Payment_Method" xr10:uid="{B64AE428-027F-4D1C-8AA7-9E33E5FCA1AB}" cache="Slicer_Payment_Method" caption="Payment_Method" rowHeight="257175"/>
  <slicer name="Staff" xr10:uid="{979BD310-DFCC-4E3E-B09D-8772490E779A}" cache="Slicer_Staff" caption="Staff"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95DFBA-2FE5-4401-9934-7EB2E4E8C6B1}" name="Table1" displayName="Table1" ref="A1:K21" totalsRowShown="0" headerRowDxfId="7" dataDxfId="8">
  <autoFilter ref="A1:K21" xr:uid="{2F95DFBA-2FE5-4401-9934-7EB2E4E8C6B1}"/>
  <tableColumns count="11">
    <tableColumn id="1" xr3:uid="{41A068D9-9982-4B32-BBCB-384B1653FB99}" name="Order_ID" dataDxfId="3"/>
    <tableColumn id="2" xr3:uid="{8D226FEF-BEFE-4DA4-BF0F-52E69DC2D364}" name="Date" dataDxfId="1"/>
    <tableColumn id="3" xr3:uid="{828810B8-6CAF-41B4-8DDD-B765DD4CEA2E}" name="Shift" dataDxfId="2"/>
    <tableColumn id="4" xr3:uid="{3147C744-2224-43FC-BD0E-5CECE0CC72E8}" name="Table_No" dataDxfId="12"/>
    <tableColumn id="5" xr3:uid="{D5FB267A-6AB8-4AE4-BF39-461A0D7E175F}" name="Item" dataDxfId="11"/>
    <tableColumn id="6" xr3:uid="{000FD718-9540-4DA8-ACD8-136643CE43DF}" name="Category" dataDxfId="10"/>
    <tableColumn id="7" xr3:uid="{D67D00A5-DE56-4277-B28C-5F957CE4367A}" name="Quantity" dataDxfId="6"/>
    <tableColumn id="8" xr3:uid="{4F2616BE-E82A-4AF6-99B8-B269AD7B8549}" name="Revenue" dataDxfId="4"/>
    <tableColumn id="9" xr3:uid="{372C60BC-E6CD-4B84-9FFC-FA7FB4D88393}" name="Payment_Method" dataDxfId="5"/>
    <tableColumn id="10" xr3:uid="{7B7D5E95-C564-447B-97D1-9DA56CD429A4}" name="Staff" dataDxfId="9"/>
    <tableColumn id="11" xr3:uid="{82808C26-28B6-4923-876A-AF889C15F159}" name="Column1" dataDxfId="0">
      <calculatedColumnFormula>SUMIF(Table1[Shift],"Morning",Table1[Revenue])</calculatedColumnFormula>
    </tableColumn>
  </tableColumns>
  <tableStyleInfo name="TableStyleLight2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0C542-35B9-41BA-8CE1-0B0CF2FF2C6B}">
  <dimension ref="A1:K21"/>
  <sheetViews>
    <sheetView topLeftCell="A2" workbookViewId="0">
      <selection activeCell="A3" sqref="A1:K21"/>
    </sheetView>
  </sheetViews>
  <sheetFormatPr defaultRowHeight="15" x14ac:dyDescent="0.25"/>
  <cols>
    <col min="1" max="1" width="13.5703125" bestFit="1" customWidth="1"/>
    <col min="2" max="2" width="11.85546875" bestFit="1" customWidth="1"/>
    <col min="3" max="3" width="9.85546875" bestFit="1" customWidth="1"/>
    <col min="4" max="4" width="13.85546875" bestFit="1" customWidth="1"/>
    <col min="5" max="5" width="9.7109375" bestFit="1" customWidth="1"/>
    <col min="6" max="6" width="13.7109375" bestFit="1" customWidth="1"/>
    <col min="7" max="7" width="13.28515625" bestFit="1" customWidth="1"/>
    <col min="8" max="8" width="13.5703125" bestFit="1" customWidth="1"/>
    <col min="9" max="9" width="21.28515625" bestFit="1" customWidth="1"/>
    <col min="10" max="10" width="9.85546875" bestFit="1" customWidth="1"/>
  </cols>
  <sheetData>
    <row r="1" spans="1:11" x14ac:dyDescent="0.25">
      <c r="A1" s="1" t="s">
        <v>0</v>
      </c>
      <c r="B1" s="5" t="s">
        <v>1</v>
      </c>
      <c r="C1" s="1" t="s">
        <v>2</v>
      </c>
      <c r="D1" s="1" t="s">
        <v>3</v>
      </c>
      <c r="E1" s="1" t="s">
        <v>4</v>
      </c>
      <c r="F1" s="1" t="s">
        <v>5</v>
      </c>
      <c r="G1" s="1" t="s">
        <v>6</v>
      </c>
      <c r="H1" s="3" t="s">
        <v>7</v>
      </c>
      <c r="I1" s="1" t="s">
        <v>8</v>
      </c>
      <c r="J1" s="1" t="s">
        <v>9</v>
      </c>
      <c r="K1" s="1" t="s">
        <v>34</v>
      </c>
    </row>
    <row r="2" spans="1:11" ht="30" x14ac:dyDescent="0.25">
      <c r="A2" s="2">
        <v>1001</v>
      </c>
      <c r="B2" s="6">
        <v>45809</v>
      </c>
      <c r="C2" s="2" t="s">
        <v>10</v>
      </c>
      <c r="D2" s="2">
        <v>5</v>
      </c>
      <c r="E2" s="2" t="s">
        <v>11</v>
      </c>
      <c r="F2" s="2" t="s">
        <v>12</v>
      </c>
      <c r="G2" s="2">
        <v>2</v>
      </c>
      <c r="H2" s="4">
        <v>300</v>
      </c>
      <c r="I2" s="2" t="s">
        <v>13</v>
      </c>
      <c r="J2" s="2" t="s">
        <v>14</v>
      </c>
      <c r="K2" s="2">
        <f>SUMIF(Table1[Shift],"Morning",Table1[Revenue])</f>
        <v>2100</v>
      </c>
    </row>
    <row r="3" spans="1:11" x14ac:dyDescent="0.25">
      <c r="A3" s="2">
        <v>1002</v>
      </c>
      <c r="B3" s="6">
        <v>45809</v>
      </c>
      <c r="C3" s="2" t="s">
        <v>10</v>
      </c>
      <c r="D3" s="2">
        <v>8</v>
      </c>
      <c r="E3" s="2" t="s">
        <v>15</v>
      </c>
      <c r="F3" s="2" t="s">
        <v>16</v>
      </c>
      <c r="G3" s="2">
        <v>1</v>
      </c>
      <c r="H3" s="4">
        <v>450</v>
      </c>
      <c r="I3" s="2" t="s">
        <v>17</v>
      </c>
      <c r="J3" s="2" t="s">
        <v>18</v>
      </c>
      <c r="K3" s="2">
        <f>SUMIF(Table1[Shift],"Evening",Table1[Revenue])</f>
        <v>9710</v>
      </c>
    </row>
    <row r="4" spans="1:11" x14ac:dyDescent="0.25">
      <c r="A4" s="2">
        <v>1003</v>
      </c>
      <c r="B4" s="6">
        <v>45809</v>
      </c>
      <c r="C4" s="2" t="s">
        <v>19</v>
      </c>
      <c r="D4" s="2">
        <v>12</v>
      </c>
      <c r="E4" s="2" t="s">
        <v>20</v>
      </c>
      <c r="F4" s="2" t="s">
        <v>16</v>
      </c>
      <c r="G4" s="2">
        <v>2</v>
      </c>
      <c r="H4" s="4">
        <v>700</v>
      </c>
      <c r="I4" s="2" t="s">
        <v>13</v>
      </c>
      <c r="J4" s="2" t="s">
        <v>21</v>
      </c>
      <c r="K4" s="2"/>
    </row>
    <row r="5" spans="1:11" x14ac:dyDescent="0.25">
      <c r="A5" s="2">
        <v>1004</v>
      </c>
      <c r="B5" s="6">
        <v>45809</v>
      </c>
      <c r="C5" s="2" t="s">
        <v>19</v>
      </c>
      <c r="D5" s="2">
        <v>15</v>
      </c>
      <c r="E5" s="2" t="s">
        <v>22</v>
      </c>
      <c r="F5" s="2" t="s">
        <v>16</v>
      </c>
      <c r="G5" s="2">
        <v>2</v>
      </c>
      <c r="H5" s="4">
        <v>800</v>
      </c>
      <c r="I5" s="2" t="s">
        <v>17</v>
      </c>
      <c r="J5" s="2" t="s">
        <v>23</v>
      </c>
      <c r="K5" s="2"/>
    </row>
    <row r="6" spans="1:11" ht="30" x14ac:dyDescent="0.25">
      <c r="A6" s="2">
        <v>1005</v>
      </c>
      <c r="B6" s="6">
        <v>45809</v>
      </c>
      <c r="C6" s="2" t="s">
        <v>19</v>
      </c>
      <c r="D6" s="2">
        <v>22</v>
      </c>
      <c r="E6" s="2" t="s">
        <v>24</v>
      </c>
      <c r="F6" s="2" t="s">
        <v>16</v>
      </c>
      <c r="G6" s="2">
        <v>1</v>
      </c>
      <c r="H6" s="4">
        <v>350</v>
      </c>
      <c r="I6" s="2" t="s">
        <v>13</v>
      </c>
      <c r="J6" s="2" t="s">
        <v>25</v>
      </c>
      <c r="K6" s="2"/>
    </row>
    <row r="7" spans="1:11" ht="30" x14ac:dyDescent="0.25">
      <c r="A7" s="2">
        <v>1006</v>
      </c>
      <c r="B7" s="6">
        <v>45810</v>
      </c>
      <c r="C7" s="2" t="s">
        <v>10</v>
      </c>
      <c r="D7" s="2">
        <v>4</v>
      </c>
      <c r="E7" s="2" t="s">
        <v>11</v>
      </c>
      <c r="F7" s="2" t="s">
        <v>12</v>
      </c>
      <c r="G7" s="2">
        <v>1</v>
      </c>
      <c r="H7" s="4">
        <v>150</v>
      </c>
      <c r="I7" s="2" t="s">
        <v>17</v>
      </c>
      <c r="J7" s="2" t="s">
        <v>14</v>
      </c>
      <c r="K7" s="2"/>
    </row>
    <row r="8" spans="1:11" x14ac:dyDescent="0.25">
      <c r="A8" s="2">
        <v>1007</v>
      </c>
      <c r="B8" s="6">
        <v>45810</v>
      </c>
      <c r="C8" s="2" t="s">
        <v>19</v>
      </c>
      <c r="D8" s="2">
        <v>18</v>
      </c>
      <c r="E8" s="2" t="s">
        <v>15</v>
      </c>
      <c r="F8" s="2" t="s">
        <v>16</v>
      </c>
      <c r="G8" s="2">
        <v>2</v>
      </c>
      <c r="H8" s="4">
        <v>900</v>
      </c>
      <c r="I8" s="2" t="s">
        <v>13</v>
      </c>
      <c r="J8" s="2" t="s">
        <v>18</v>
      </c>
      <c r="K8" s="2"/>
    </row>
    <row r="9" spans="1:11" x14ac:dyDescent="0.25">
      <c r="A9" s="2">
        <v>1008</v>
      </c>
      <c r="B9" s="6">
        <v>45810</v>
      </c>
      <c r="C9" s="2" t="s">
        <v>19</v>
      </c>
      <c r="D9" s="2">
        <v>25</v>
      </c>
      <c r="E9" s="2" t="s">
        <v>26</v>
      </c>
      <c r="F9" s="2" t="s">
        <v>16</v>
      </c>
      <c r="G9" s="2">
        <v>2</v>
      </c>
      <c r="H9" s="4">
        <v>600</v>
      </c>
      <c r="I9" s="2" t="s">
        <v>17</v>
      </c>
      <c r="J9" s="2" t="s">
        <v>21</v>
      </c>
      <c r="K9" s="2"/>
    </row>
    <row r="10" spans="1:11" ht="30" x14ac:dyDescent="0.25">
      <c r="A10" s="2">
        <v>1009</v>
      </c>
      <c r="B10" s="6">
        <v>45810</v>
      </c>
      <c r="C10" s="2" t="s">
        <v>19</v>
      </c>
      <c r="D10" s="2">
        <v>10</v>
      </c>
      <c r="E10" s="2" t="s">
        <v>27</v>
      </c>
      <c r="F10" s="2" t="s">
        <v>16</v>
      </c>
      <c r="G10" s="2">
        <v>1</v>
      </c>
      <c r="H10" s="4">
        <v>420</v>
      </c>
      <c r="I10" s="2" t="s">
        <v>13</v>
      </c>
      <c r="J10" s="2" t="s">
        <v>23</v>
      </c>
      <c r="K10" s="2"/>
    </row>
    <row r="11" spans="1:11" ht="30" x14ac:dyDescent="0.25">
      <c r="A11" s="2">
        <v>1010</v>
      </c>
      <c r="B11" s="6">
        <v>45810</v>
      </c>
      <c r="C11" s="2" t="s">
        <v>10</v>
      </c>
      <c r="D11" s="2">
        <v>6</v>
      </c>
      <c r="E11" s="2" t="s">
        <v>11</v>
      </c>
      <c r="F11" s="2" t="s">
        <v>12</v>
      </c>
      <c r="G11" s="2">
        <v>3</v>
      </c>
      <c r="H11" s="4">
        <v>450</v>
      </c>
      <c r="I11" s="2" t="s">
        <v>17</v>
      </c>
      <c r="J11" s="2" t="s">
        <v>25</v>
      </c>
      <c r="K11" s="2"/>
    </row>
    <row r="12" spans="1:11" x14ac:dyDescent="0.25">
      <c r="A12" s="2">
        <v>1011</v>
      </c>
      <c r="B12" s="6">
        <v>45811</v>
      </c>
      <c r="C12" s="2" t="s">
        <v>19</v>
      </c>
      <c r="D12" s="2">
        <v>14</v>
      </c>
      <c r="E12" s="2" t="s">
        <v>15</v>
      </c>
      <c r="F12" s="2" t="s">
        <v>16</v>
      </c>
      <c r="G12" s="2">
        <v>2</v>
      </c>
      <c r="H12" s="4">
        <v>900</v>
      </c>
      <c r="I12" s="2" t="s">
        <v>13</v>
      </c>
      <c r="J12" s="2" t="s">
        <v>14</v>
      </c>
      <c r="K12" s="2"/>
    </row>
    <row r="13" spans="1:11" x14ac:dyDescent="0.25">
      <c r="A13" s="2">
        <v>1012</v>
      </c>
      <c r="B13" s="6">
        <v>45811</v>
      </c>
      <c r="C13" s="2" t="s">
        <v>19</v>
      </c>
      <c r="D13" s="2">
        <v>19</v>
      </c>
      <c r="E13" s="2" t="s">
        <v>20</v>
      </c>
      <c r="F13" s="2" t="s">
        <v>16</v>
      </c>
      <c r="G13" s="2">
        <v>1</v>
      </c>
      <c r="H13" s="4">
        <v>350</v>
      </c>
      <c r="I13" s="2" t="s">
        <v>17</v>
      </c>
      <c r="J13" s="2" t="s">
        <v>18</v>
      </c>
      <c r="K13" s="2"/>
    </row>
    <row r="14" spans="1:11" ht="30" x14ac:dyDescent="0.25">
      <c r="A14" s="2">
        <v>1013</v>
      </c>
      <c r="B14" s="6">
        <v>45811</v>
      </c>
      <c r="C14" s="2" t="s">
        <v>10</v>
      </c>
      <c r="D14" s="2">
        <v>3</v>
      </c>
      <c r="E14" s="2" t="s">
        <v>11</v>
      </c>
      <c r="F14" s="2" t="s">
        <v>12</v>
      </c>
      <c r="G14" s="2">
        <v>2</v>
      </c>
      <c r="H14" s="4">
        <v>300</v>
      </c>
      <c r="I14" s="2" t="s">
        <v>13</v>
      </c>
      <c r="J14" s="2" t="s">
        <v>21</v>
      </c>
      <c r="K14" s="2"/>
    </row>
    <row r="15" spans="1:11" x14ac:dyDescent="0.25">
      <c r="A15" s="2">
        <v>1014</v>
      </c>
      <c r="B15" s="6">
        <v>45811</v>
      </c>
      <c r="C15" s="2" t="s">
        <v>19</v>
      </c>
      <c r="D15" s="2">
        <v>27</v>
      </c>
      <c r="E15" s="2" t="s">
        <v>22</v>
      </c>
      <c r="F15" s="2" t="s">
        <v>16</v>
      </c>
      <c r="G15" s="2">
        <v>3</v>
      </c>
      <c r="H15" s="4">
        <v>1200</v>
      </c>
      <c r="I15" s="2" t="s">
        <v>17</v>
      </c>
      <c r="J15" s="2" t="s">
        <v>23</v>
      </c>
      <c r="K15" s="2"/>
    </row>
    <row r="16" spans="1:11" x14ac:dyDescent="0.25">
      <c r="A16" s="2">
        <v>1015</v>
      </c>
      <c r="B16" s="6">
        <v>45811</v>
      </c>
      <c r="C16" s="2" t="s">
        <v>19</v>
      </c>
      <c r="D16" s="2">
        <v>30</v>
      </c>
      <c r="E16" s="2" t="s">
        <v>26</v>
      </c>
      <c r="F16" s="2" t="s">
        <v>16</v>
      </c>
      <c r="G16" s="2">
        <v>2</v>
      </c>
      <c r="H16" s="4">
        <v>600</v>
      </c>
      <c r="I16" s="2" t="s">
        <v>13</v>
      </c>
      <c r="J16" s="2" t="s">
        <v>25</v>
      </c>
      <c r="K16" s="2"/>
    </row>
    <row r="17" spans="1:11" ht="30" x14ac:dyDescent="0.25">
      <c r="A17" s="2">
        <v>1016</v>
      </c>
      <c r="B17" s="6">
        <v>45812</v>
      </c>
      <c r="C17" s="2" t="s">
        <v>10</v>
      </c>
      <c r="D17" s="2">
        <v>9</v>
      </c>
      <c r="E17" s="2" t="s">
        <v>11</v>
      </c>
      <c r="F17" s="2" t="s">
        <v>12</v>
      </c>
      <c r="G17" s="2">
        <v>1</v>
      </c>
      <c r="H17" s="4">
        <v>150</v>
      </c>
      <c r="I17" s="2" t="s">
        <v>13</v>
      </c>
      <c r="J17" s="2" t="s">
        <v>14</v>
      </c>
      <c r="K17" s="2"/>
    </row>
    <row r="18" spans="1:11" x14ac:dyDescent="0.25">
      <c r="A18" s="2">
        <v>1017</v>
      </c>
      <c r="B18" s="6">
        <v>45812</v>
      </c>
      <c r="C18" s="2" t="s">
        <v>19</v>
      </c>
      <c r="D18" s="2">
        <v>35</v>
      </c>
      <c r="E18" s="2" t="s">
        <v>15</v>
      </c>
      <c r="F18" s="2" t="s">
        <v>16</v>
      </c>
      <c r="G18" s="2">
        <v>3</v>
      </c>
      <c r="H18" s="4">
        <v>1350</v>
      </c>
      <c r="I18" s="2" t="s">
        <v>17</v>
      </c>
      <c r="J18" s="2" t="s">
        <v>18</v>
      </c>
      <c r="K18" s="2"/>
    </row>
    <row r="19" spans="1:11" ht="30" x14ac:dyDescent="0.25">
      <c r="A19" s="2">
        <v>1018</v>
      </c>
      <c r="B19" s="6">
        <v>45812</v>
      </c>
      <c r="C19" s="2" t="s">
        <v>19</v>
      </c>
      <c r="D19" s="2">
        <v>40</v>
      </c>
      <c r="E19" s="2" t="s">
        <v>27</v>
      </c>
      <c r="F19" s="2" t="s">
        <v>16</v>
      </c>
      <c r="G19" s="2">
        <v>2</v>
      </c>
      <c r="H19" s="4">
        <v>840</v>
      </c>
      <c r="I19" s="2" t="s">
        <v>13</v>
      </c>
      <c r="J19" s="2" t="s">
        <v>21</v>
      </c>
      <c r="K19" s="2"/>
    </row>
    <row r="20" spans="1:11" ht="30" x14ac:dyDescent="0.25">
      <c r="A20" s="2">
        <v>1019</v>
      </c>
      <c r="B20" s="6">
        <v>45812</v>
      </c>
      <c r="C20" s="2" t="s">
        <v>19</v>
      </c>
      <c r="D20" s="2">
        <v>20</v>
      </c>
      <c r="E20" s="2" t="s">
        <v>24</v>
      </c>
      <c r="F20" s="2" t="s">
        <v>16</v>
      </c>
      <c r="G20" s="2">
        <v>2</v>
      </c>
      <c r="H20" s="4">
        <v>700</v>
      </c>
      <c r="I20" s="2" t="s">
        <v>17</v>
      </c>
      <c r="J20" s="2" t="s">
        <v>23</v>
      </c>
      <c r="K20" s="2"/>
    </row>
    <row r="21" spans="1:11" ht="30" x14ac:dyDescent="0.25">
      <c r="A21" s="2">
        <v>1020</v>
      </c>
      <c r="B21" s="6">
        <v>45812</v>
      </c>
      <c r="C21" s="2" t="s">
        <v>10</v>
      </c>
      <c r="D21" s="2">
        <v>7</v>
      </c>
      <c r="E21" s="2" t="s">
        <v>11</v>
      </c>
      <c r="F21" s="2" t="s">
        <v>12</v>
      </c>
      <c r="G21" s="2">
        <v>2</v>
      </c>
      <c r="H21" s="4">
        <v>300</v>
      </c>
      <c r="I21" s="2" t="s">
        <v>13</v>
      </c>
      <c r="J21" s="2" t="s">
        <v>25</v>
      </c>
      <c r="K21"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4A6A5-CB08-45BE-ACC0-A26DAAAA59CA}">
  <dimension ref="B4:J34"/>
  <sheetViews>
    <sheetView showGridLines="0" zoomScale="115" zoomScaleNormal="115" workbookViewId="0">
      <selection activeCell="B4" sqref="B4:J5"/>
    </sheetView>
  </sheetViews>
  <sheetFormatPr defaultRowHeight="15" x14ac:dyDescent="0.25"/>
  <cols>
    <col min="1" max="1" width="1.85546875" customWidth="1"/>
    <col min="2" max="2" width="23.7109375" bestFit="1" customWidth="1"/>
    <col min="3" max="3" width="27" bestFit="1" customWidth="1"/>
    <col min="4" max="4" width="11.85546875" bestFit="1" customWidth="1"/>
    <col min="6" max="6" width="19" bestFit="1" customWidth="1"/>
    <col min="8" max="8" width="13.28515625" bestFit="1" customWidth="1"/>
    <col min="10" max="10" width="16.7109375" bestFit="1" customWidth="1"/>
  </cols>
  <sheetData>
    <row r="4" spans="2:10" x14ac:dyDescent="0.25">
      <c r="B4" t="s">
        <v>28</v>
      </c>
      <c r="D4" t="s">
        <v>29</v>
      </c>
      <c r="F4" t="s">
        <v>30</v>
      </c>
      <c r="H4" t="s">
        <v>31</v>
      </c>
      <c r="J4" t="s">
        <v>32</v>
      </c>
    </row>
    <row r="5" spans="2:10" x14ac:dyDescent="0.25">
      <c r="B5" s="7">
        <f>SUM(Table1[Revenue])</f>
        <v>11810</v>
      </c>
      <c r="D5">
        <f>COUNT(Table1[Order_ID])</f>
        <v>20</v>
      </c>
      <c r="F5">
        <f>AVERAGE(Table1[Revenue])</f>
        <v>590.5</v>
      </c>
      <c r="H5" s="7">
        <f>SUMIF(Table1[Category],"Food",Table1[Revenue])</f>
        <v>10160</v>
      </c>
      <c r="J5" s="7">
        <f>SUMIF(Table1[Category],"Beverage",Table1[Revenue])</f>
        <v>1650</v>
      </c>
    </row>
    <row r="8" spans="2:10" x14ac:dyDescent="0.25">
      <c r="B8" t="s">
        <v>33</v>
      </c>
    </row>
    <row r="9" spans="2:10" x14ac:dyDescent="0.25">
      <c r="B9" t="s">
        <v>35</v>
      </c>
    </row>
    <row r="11" spans="2:10" x14ac:dyDescent="0.25">
      <c r="B11" t="s">
        <v>36</v>
      </c>
    </row>
    <row r="12" spans="2:10" x14ac:dyDescent="0.25">
      <c r="B12" t="str" cm="1">
        <f t="array" ref="B12:B18">_xlfn.UNIQUE(Table1[Item])</f>
        <v>Cappuccino</v>
      </c>
      <c r="C12">
        <f>SUMIFS(Table1[Revenue],Table1[Item],"Cappuccino")</f>
        <v>1650</v>
      </c>
    </row>
    <row r="13" spans="2:10" x14ac:dyDescent="0.25">
      <c r="B13" t="str">
        <v>Pizza</v>
      </c>
      <c r="C13">
        <f>SUMIFS(Table1[Revenue],Table1[Item],"Pizza")</f>
        <v>3600</v>
      </c>
    </row>
    <row r="14" spans="2:10" x14ac:dyDescent="0.25">
      <c r="B14" t="str">
        <v>Pasta</v>
      </c>
      <c r="C14">
        <f>SUMIFS(Table1[Revenue],Table1[Item],"Pasta")</f>
        <v>1050</v>
      </c>
    </row>
    <row r="15" spans="2:10" x14ac:dyDescent="0.25">
      <c r="B15" t="str">
        <v>Biryani</v>
      </c>
      <c r="C15">
        <f>SUMIFS(Table1[Revenue],Table1[Item],"Biryani")</f>
        <v>2000</v>
      </c>
    </row>
    <row r="16" spans="2:10" x14ac:dyDescent="0.25">
      <c r="B16" t="str">
        <v>Dal Makhani</v>
      </c>
      <c r="C16">
        <f>SUMIFS(Table1[Revenue],Table1[Item],"Dal Makhani")</f>
        <v>1050</v>
      </c>
    </row>
    <row r="17" spans="2:3" x14ac:dyDescent="0.25">
      <c r="B17" t="str">
        <v>Chinese</v>
      </c>
      <c r="C17">
        <f>SUMIFS(Table1[Revenue],Table1[Item],"Chinese")</f>
        <v>1200</v>
      </c>
    </row>
    <row r="18" spans="2:3" x14ac:dyDescent="0.25">
      <c r="B18" t="str">
        <v>Paneer Do Pyaza</v>
      </c>
      <c r="C18">
        <f>SUMIFS(Table1[Revenue],Table1[Item],"Paneer Do Pyaza")</f>
        <v>1260</v>
      </c>
    </row>
    <row r="20" spans="2:3" x14ac:dyDescent="0.25">
      <c r="B20" t="s">
        <v>37</v>
      </c>
    </row>
    <row r="22" spans="2:3" x14ac:dyDescent="0.25">
      <c r="B22" t="s">
        <v>38</v>
      </c>
    </row>
    <row r="23" spans="2:3" x14ac:dyDescent="0.25">
      <c r="B23" t="str" cm="1">
        <f t="array" ref="B23:B27">_xlfn.UNIQUE(Table1[Staff])</f>
        <v>Amaan</v>
      </c>
      <c r="C23">
        <f>SUMIF(Table1[Staff],"Amaan",Table1[Revenue])</f>
        <v>1500</v>
      </c>
    </row>
    <row r="24" spans="2:3" x14ac:dyDescent="0.25">
      <c r="B24" t="str">
        <v>Ali</v>
      </c>
      <c r="C24">
        <f>SUMIF(Table1[Staff],"Ali",Table1[Revenue])</f>
        <v>3050</v>
      </c>
    </row>
    <row r="25" spans="2:3" x14ac:dyDescent="0.25">
      <c r="B25" t="str">
        <v>Ahmed</v>
      </c>
      <c r="C25">
        <f>SUMIF(Table1[Staff],"Ahmed",Table1[Revenue])</f>
        <v>2440</v>
      </c>
    </row>
    <row r="26" spans="2:3" x14ac:dyDescent="0.25">
      <c r="B26" t="str">
        <v>Hamza</v>
      </c>
      <c r="C26">
        <f>SUMIF(Table1[Staff],"Hamza",Table1[Revenue])</f>
        <v>3120</v>
      </c>
    </row>
    <row r="27" spans="2:3" x14ac:dyDescent="0.25">
      <c r="B27" t="str">
        <v>Rehan</v>
      </c>
      <c r="C27">
        <f>SUMIF(Table1[Staff],"Rehan",Table1[Revenue])</f>
        <v>1700</v>
      </c>
    </row>
    <row r="28" spans="2:3" x14ac:dyDescent="0.25">
      <c r="B28" t="s">
        <v>39</v>
      </c>
    </row>
    <row r="30" spans="2:3" x14ac:dyDescent="0.25">
      <c r="B30" t="s">
        <v>40</v>
      </c>
    </row>
    <row r="31" spans="2:3" x14ac:dyDescent="0.25">
      <c r="B31" t="s">
        <v>41</v>
      </c>
    </row>
    <row r="32" spans="2:3" x14ac:dyDescent="0.25">
      <c r="B32" t="str" cm="1">
        <f t="array" ref="B32:B33">_xlfn.UNIQUE(Table1[Payment_Method])</f>
        <v>UPI</v>
      </c>
      <c r="C32">
        <f>SUMIF(Table1[Payment_Method],"UPI",Table1[Revenue])</f>
        <v>5760</v>
      </c>
    </row>
    <row r="33" spans="2:3" x14ac:dyDescent="0.25">
      <c r="B33" t="str">
        <v>Cash</v>
      </c>
      <c r="C33">
        <f>SUMIF(Table1[Payment_Method],"Cash",Table1[Revenue])</f>
        <v>6050</v>
      </c>
    </row>
    <row r="34" spans="2:3" x14ac:dyDescent="0.25">
      <c r="B34" t="s">
        <v>42</v>
      </c>
    </row>
  </sheetData>
  <autoFilter ref="B12:C18" xr:uid="{2144A6A5-CB08-45BE-ACC0-A26DAAAA59C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D5883-7DB6-4590-94E5-1303711CE96E}">
  <dimension ref="B6:G29"/>
  <sheetViews>
    <sheetView tabSelected="1" topLeftCell="A4" workbookViewId="0">
      <selection activeCell="G7" sqref="G7"/>
    </sheetView>
  </sheetViews>
  <sheetFormatPr defaultRowHeight="15" x14ac:dyDescent="0.25"/>
  <cols>
    <col min="2" max="2" width="13.42578125" bestFit="1" customWidth="1"/>
    <col min="3" max="3" width="15.85546875" bestFit="1" customWidth="1"/>
    <col min="6" max="6" width="13.42578125" bestFit="1" customWidth="1"/>
    <col min="7" max="7" width="15.85546875" bestFit="1" customWidth="1"/>
  </cols>
  <sheetData>
    <row r="6" spans="2:7" x14ac:dyDescent="0.25">
      <c r="B6" s="8" t="s">
        <v>43</v>
      </c>
      <c r="C6" t="s">
        <v>45</v>
      </c>
      <c r="F6" s="8" t="s">
        <v>43</v>
      </c>
      <c r="G6" t="s">
        <v>45</v>
      </c>
    </row>
    <row r="7" spans="2:7" x14ac:dyDescent="0.25">
      <c r="B7" s="9" t="s">
        <v>19</v>
      </c>
      <c r="C7" s="7">
        <v>9710</v>
      </c>
      <c r="F7" s="9" t="s">
        <v>17</v>
      </c>
      <c r="G7" s="7">
        <v>6050</v>
      </c>
    </row>
    <row r="8" spans="2:7" x14ac:dyDescent="0.25">
      <c r="B8" s="9" t="s">
        <v>10</v>
      </c>
      <c r="C8" s="7">
        <v>2100</v>
      </c>
      <c r="F8" s="9" t="s">
        <v>13</v>
      </c>
      <c r="G8" s="7">
        <v>5760</v>
      </c>
    </row>
    <row r="9" spans="2:7" x14ac:dyDescent="0.25">
      <c r="B9" s="9" t="s">
        <v>44</v>
      </c>
      <c r="C9" s="7">
        <v>11810</v>
      </c>
      <c r="F9" s="9" t="s">
        <v>44</v>
      </c>
      <c r="G9" s="7">
        <v>11810</v>
      </c>
    </row>
    <row r="12" spans="2:7" x14ac:dyDescent="0.25">
      <c r="B12" s="8" t="s">
        <v>43</v>
      </c>
      <c r="C12" t="s">
        <v>45</v>
      </c>
    </row>
    <row r="13" spans="2:7" x14ac:dyDescent="0.25">
      <c r="B13" s="9" t="s">
        <v>15</v>
      </c>
      <c r="C13" s="7">
        <v>3600</v>
      </c>
    </row>
    <row r="14" spans="2:7" x14ac:dyDescent="0.25">
      <c r="B14" s="9" t="s">
        <v>22</v>
      </c>
      <c r="C14" s="7">
        <v>2000</v>
      </c>
    </row>
    <row r="15" spans="2:7" x14ac:dyDescent="0.25">
      <c r="B15" s="9" t="s">
        <v>11</v>
      </c>
      <c r="C15" s="7">
        <v>1650</v>
      </c>
    </row>
    <row r="16" spans="2:7" x14ac:dyDescent="0.25">
      <c r="B16" s="9" t="s">
        <v>27</v>
      </c>
      <c r="C16" s="7">
        <v>1260</v>
      </c>
    </row>
    <row r="17" spans="2:3" x14ac:dyDescent="0.25">
      <c r="B17" s="9" t="s">
        <v>26</v>
      </c>
      <c r="C17" s="7">
        <v>1200</v>
      </c>
    </row>
    <row r="18" spans="2:3" x14ac:dyDescent="0.25">
      <c r="B18" s="9" t="s">
        <v>20</v>
      </c>
      <c r="C18" s="7">
        <v>1050</v>
      </c>
    </row>
    <row r="19" spans="2:3" x14ac:dyDescent="0.25">
      <c r="B19" s="9" t="s">
        <v>24</v>
      </c>
      <c r="C19" s="7">
        <v>1050</v>
      </c>
    </row>
    <row r="20" spans="2:3" x14ac:dyDescent="0.25">
      <c r="B20" s="9" t="s">
        <v>44</v>
      </c>
      <c r="C20" s="7">
        <v>11810</v>
      </c>
    </row>
    <row r="23" spans="2:3" x14ac:dyDescent="0.25">
      <c r="B23" s="8" t="s">
        <v>43</v>
      </c>
      <c r="C23" t="s">
        <v>45</v>
      </c>
    </row>
    <row r="24" spans="2:3" x14ac:dyDescent="0.25">
      <c r="B24" s="9" t="s">
        <v>23</v>
      </c>
      <c r="C24" s="7">
        <v>3120</v>
      </c>
    </row>
    <row r="25" spans="2:3" x14ac:dyDescent="0.25">
      <c r="B25" s="9" t="s">
        <v>18</v>
      </c>
      <c r="C25" s="7">
        <v>3050</v>
      </c>
    </row>
    <row r="26" spans="2:3" x14ac:dyDescent="0.25">
      <c r="B26" s="9" t="s">
        <v>21</v>
      </c>
      <c r="C26" s="7">
        <v>2440</v>
      </c>
    </row>
    <row r="27" spans="2:3" x14ac:dyDescent="0.25">
      <c r="B27" s="9" t="s">
        <v>25</v>
      </c>
      <c r="C27" s="7">
        <v>1700</v>
      </c>
    </row>
    <row r="28" spans="2:3" x14ac:dyDescent="0.25">
      <c r="B28" s="9" t="s">
        <v>14</v>
      </c>
      <c r="C28" s="7">
        <v>1500</v>
      </c>
    </row>
    <row r="29" spans="2:3" x14ac:dyDescent="0.25">
      <c r="B29" s="9" t="s">
        <v>44</v>
      </c>
      <c r="C29" s="7">
        <v>11810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BB1DA-2C37-4533-9132-EC0C90CD293C}">
  <dimension ref="A1:IR46"/>
  <sheetViews>
    <sheetView showGridLines="0" topLeftCell="A12" zoomScale="90" zoomScaleNormal="90" workbookViewId="0">
      <selection activeCell="M39" sqref="M39"/>
    </sheetView>
  </sheetViews>
  <sheetFormatPr defaultRowHeight="15" x14ac:dyDescent="0.25"/>
  <cols>
    <col min="1" max="2" width="9.140625" style="10"/>
    <col min="3" max="3" width="13.28515625" style="10" bestFit="1" customWidth="1"/>
    <col min="4" max="8" width="9.140625" style="10"/>
    <col min="9" max="9" width="13.28515625" style="10" bestFit="1" customWidth="1"/>
    <col min="10" max="10" width="9.140625" style="10"/>
    <col min="11" max="11" width="16.7109375" style="10" bestFit="1" customWidth="1"/>
    <col min="12" max="12" width="9.140625" style="10"/>
    <col min="13" max="13" width="13.28515625" style="10" bestFit="1" customWidth="1"/>
    <col min="14" max="18" width="9.140625" style="10"/>
    <col min="19" max="19" width="13.28515625" style="10" bestFit="1" customWidth="1"/>
    <col min="20" max="20" width="9.140625" style="10"/>
    <col min="21" max="21" width="16.7109375" style="10" bestFit="1" customWidth="1"/>
    <col min="22" max="16384" width="9.140625" style="10"/>
  </cols>
  <sheetData>
    <row r="1" spans="1:252" x14ac:dyDescent="0.25">
      <c r="E1" s="12" t="s">
        <v>46</v>
      </c>
      <c r="F1" s="13"/>
      <c r="G1" s="13"/>
      <c r="H1" s="13"/>
      <c r="I1" s="13"/>
      <c r="J1" s="13"/>
      <c r="K1" s="13"/>
    </row>
    <row r="2" spans="1:252" s="11" customFormat="1" x14ac:dyDescent="0.25">
      <c r="A2" s="10"/>
      <c r="B2" s="10"/>
      <c r="C2" s="10"/>
      <c r="D2" s="10"/>
      <c r="E2" s="13"/>
      <c r="F2" s="13"/>
      <c r="G2" s="13"/>
      <c r="H2" s="13"/>
      <c r="I2" s="13"/>
      <c r="J2" s="13"/>
      <c r="K2" s="13"/>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c r="EH2" s="10"/>
      <c r="EI2" s="10"/>
      <c r="EJ2" s="10"/>
      <c r="EK2" s="10"/>
      <c r="EL2" s="10"/>
      <c r="EM2" s="10"/>
      <c r="EN2" s="10"/>
      <c r="EO2" s="10"/>
      <c r="EP2" s="10"/>
      <c r="EQ2" s="10"/>
      <c r="ER2" s="10"/>
      <c r="ES2" s="10"/>
      <c r="ET2" s="10"/>
      <c r="EU2" s="10"/>
      <c r="EV2" s="10"/>
      <c r="EW2" s="10"/>
      <c r="EX2" s="10"/>
      <c r="EY2" s="10"/>
      <c r="EZ2" s="10"/>
      <c r="FA2" s="10"/>
      <c r="FB2" s="10"/>
      <c r="FC2" s="10"/>
      <c r="FD2" s="10"/>
      <c r="FE2" s="10"/>
      <c r="FF2" s="10"/>
      <c r="FG2" s="10"/>
      <c r="FH2" s="10"/>
      <c r="FI2" s="10"/>
      <c r="FJ2" s="10"/>
      <c r="FK2" s="10"/>
      <c r="FL2" s="10"/>
      <c r="FM2" s="10"/>
      <c r="FN2" s="10"/>
      <c r="FO2" s="10"/>
      <c r="FP2" s="10"/>
      <c r="FQ2" s="10"/>
      <c r="FR2" s="10"/>
      <c r="FS2" s="10"/>
      <c r="FT2" s="10"/>
      <c r="FU2" s="10"/>
      <c r="FV2" s="10"/>
      <c r="FW2" s="10"/>
      <c r="FX2" s="10"/>
      <c r="FY2" s="10"/>
      <c r="FZ2" s="10"/>
      <c r="GA2" s="10"/>
      <c r="GB2" s="10"/>
      <c r="GC2" s="10"/>
      <c r="GD2" s="10"/>
      <c r="GE2" s="10"/>
      <c r="GF2" s="10"/>
      <c r="GG2" s="10"/>
      <c r="GH2" s="10"/>
      <c r="GI2" s="10"/>
      <c r="GJ2" s="10"/>
      <c r="GK2" s="10"/>
      <c r="GL2" s="10"/>
      <c r="GM2" s="10"/>
      <c r="GN2" s="10"/>
      <c r="GO2" s="10"/>
      <c r="GP2" s="10"/>
      <c r="GQ2" s="10"/>
      <c r="GR2" s="10"/>
      <c r="GS2" s="10"/>
      <c r="GT2" s="10"/>
      <c r="GU2" s="10"/>
      <c r="GV2" s="10"/>
      <c r="GW2" s="10"/>
      <c r="GX2" s="10"/>
      <c r="GY2" s="10"/>
      <c r="GZ2" s="10"/>
      <c r="HA2" s="10"/>
      <c r="HB2" s="10"/>
      <c r="HC2" s="10"/>
      <c r="HD2" s="10"/>
      <c r="HE2" s="10"/>
      <c r="HF2" s="10"/>
      <c r="HG2" s="10"/>
      <c r="HH2" s="10"/>
      <c r="HI2" s="10"/>
      <c r="HJ2" s="10"/>
      <c r="HK2" s="10"/>
      <c r="HL2" s="10"/>
      <c r="HM2" s="10"/>
      <c r="HN2" s="10"/>
      <c r="HO2" s="10"/>
      <c r="HP2" s="10"/>
      <c r="HQ2" s="10"/>
      <c r="HR2" s="10"/>
      <c r="HS2" s="10"/>
      <c r="HT2" s="10"/>
      <c r="HU2" s="10"/>
      <c r="HV2" s="10"/>
      <c r="HW2" s="10"/>
      <c r="HX2" s="10"/>
      <c r="HY2" s="10"/>
      <c r="HZ2" s="10"/>
      <c r="IA2" s="10"/>
      <c r="IB2" s="10"/>
      <c r="IC2" s="10"/>
      <c r="ID2" s="10"/>
      <c r="IE2" s="10"/>
      <c r="IF2" s="10"/>
      <c r="IG2" s="10"/>
      <c r="IH2" s="10"/>
      <c r="II2" s="10"/>
      <c r="IJ2" s="10"/>
      <c r="IK2" s="10"/>
      <c r="IL2" s="10"/>
      <c r="IM2" s="10"/>
      <c r="IN2" s="10"/>
      <c r="IO2" s="10"/>
      <c r="IP2" s="10"/>
      <c r="IQ2" s="10"/>
      <c r="IR2" s="10"/>
    </row>
    <row r="3" spans="1:252" s="11" customFormat="1" x14ac:dyDescent="0.25">
      <c r="A3" s="10"/>
      <c r="B3" s="10"/>
      <c r="C3" s="10"/>
      <c r="D3" s="10"/>
      <c r="E3" s="13"/>
      <c r="F3" s="13"/>
      <c r="G3" s="13"/>
      <c r="H3" s="13"/>
      <c r="I3" s="13"/>
      <c r="J3" s="13"/>
      <c r="K3" s="13"/>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row>
    <row r="37" spans="4:10" ht="15" customHeight="1" x14ac:dyDescent="0.25">
      <c r="D37" s="14" t="s">
        <v>47</v>
      </c>
      <c r="E37" s="14"/>
      <c r="F37" s="14"/>
      <c r="G37" s="14"/>
      <c r="H37" s="14"/>
      <c r="I37" s="14"/>
      <c r="J37" s="14"/>
    </row>
    <row r="38" spans="4:10" x14ac:dyDescent="0.25">
      <c r="D38" s="14"/>
      <c r="E38" s="14"/>
      <c r="F38" s="14"/>
      <c r="G38" s="14"/>
      <c r="H38" s="14"/>
      <c r="I38" s="14"/>
      <c r="J38" s="14"/>
    </row>
    <row r="39" spans="4:10" x14ac:dyDescent="0.25">
      <c r="D39" s="14"/>
      <c r="E39" s="14"/>
      <c r="F39" s="14"/>
      <c r="G39" s="14"/>
      <c r="H39" s="14"/>
      <c r="I39" s="14"/>
      <c r="J39" s="14"/>
    </row>
    <row r="40" spans="4:10" x14ac:dyDescent="0.25">
      <c r="D40" s="14"/>
      <c r="E40" s="14"/>
      <c r="F40" s="14"/>
      <c r="G40" s="14"/>
      <c r="H40" s="14"/>
      <c r="I40" s="14"/>
      <c r="J40" s="14"/>
    </row>
    <row r="41" spans="4:10" x14ac:dyDescent="0.25">
      <c r="D41" s="14"/>
      <c r="E41" s="14"/>
      <c r="F41" s="14"/>
      <c r="G41" s="14"/>
      <c r="H41" s="14"/>
      <c r="I41" s="14"/>
      <c r="J41" s="14"/>
    </row>
    <row r="42" spans="4:10" x14ac:dyDescent="0.25">
      <c r="D42" s="14"/>
      <c r="E42" s="14"/>
      <c r="F42" s="14"/>
      <c r="G42" s="14"/>
      <c r="H42" s="14"/>
      <c r="I42" s="14"/>
      <c r="J42" s="14"/>
    </row>
    <row r="43" spans="4:10" x14ac:dyDescent="0.25">
      <c r="D43" s="14"/>
      <c r="E43" s="14"/>
      <c r="F43" s="14"/>
      <c r="G43" s="14"/>
      <c r="H43" s="14"/>
      <c r="I43" s="14"/>
      <c r="J43" s="14"/>
    </row>
    <row r="44" spans="4:10" x14ac:dyDescent="0.25">
      <c r="D44" s="14"/>
      <c r="E44" s="14"/>
      <c r="F44" s="14"/>
      <c r="G44" s="14"/>
      <c r="H44" s="14"/>
      <c r="I44" s="14"/>
      <c r="J44" s="14"/>
    </row>
    <row r="45" spans="4:10" x14ac:dyDescent="0.25">
      <c r="D45" s="14"/>
      <c r="E45" s="14"/>
      <c r="F45" s="14"/>
      <c r="G45" s="14"/>
      <c r="H45" s="14"/>
      <c r="I45" s="14"/>
      <c r="J45" s="14"/>
    </row>
    <row r="46" spans="4:10" x14ac:dyDescent="0.25">
      <c r="D46" s="14"/>
      <c r="E46" s="14"/>
      <c r="F46" s="14"/>
      <c r="G46" s="14"/>
      <c r="H46" s="14"/>
      <c r="I46" s="14"/>
      <c r="J46" s="14"/>
    </row>
  </sheetData>
  <mergeCells count="2">
    <mergeCell ref="E1:K3"/>
    <mergeCell ref="D37:J4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Cafe_Analysis</vt:lpstr>
      <vt:lpstr>Cafe_Pivots</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Amaan Abbas</dc:creator>
  <cp:lastModifiedBy>Amaan Abbas</cp:lastModifiedBy>
  <dcterms:created xsi:type="dcterms:W3CDTF">2026-06-05T03:34:14Z</dcterms:created>
  <dcterms:modified xsi:type="dcterms:W3CDTF">2026-06-06T04:12:41Z</dcterms:modified>
</cp:coreProperties>
</file>