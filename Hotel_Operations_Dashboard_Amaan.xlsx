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Amaan laptop data\Data Science\Excel\"/>
    </mc:Choice>
  </mc:AlternateContent>
  <xr:revisionPtr revIDLastSave="0" documentId="8_{ECFDBEA6-DB76-46E2-A021-A4D6A1DA11A8}" xr6:coauthVersionLast="47" xr6:coauthVersionMax="47" xr10:uidLastSave="{00000000-0000-0000-0000-000000000000}"/>
  <bookViews>
    <workbookView xWindow="-120" yWindow="-120" windowWidth="20730" windowHeight="11160" xr2:uid="{35F0A53D-A7F5-48C4-B7C3-20D026EEDAFF}"/>
  </bookViews>
  <sheets>
    <sheet name="Dashboard" sheetId="8" r:id="rId1"/>
    <sheet name="GM  Report" sheetId="9" r:id="rId2"/>
    <sheet name="Monthly Summary" sheetId="3" r:id="rId3"/>
    <sheet name="Daily Operations" sheetId="1" r:id="rId4"/>
    <sheet name="Staff Performace" sheetId="2" r:id="rId5"/>
    <sheet name="Pivot Table" sheetId="5" r:id="rId6"/>
    <sheet name="Tasks" sheetId="4" state="hidden" r:id="rId7"/>
  </sheets>
  <definedNames>
    <definedName name="_xlnm._FilterDatabase" localSheetId="4" hidden="1">'Staff Performace'!$A$1:$K$16</definedName>
    <definedName name="_xlcn.WorksheetConnection_StaffPerformaceA1K161" hidden="1">'Staff Performace'!$A$1:$K$16</definedName>
  </definedNames>
  <calcPr calcId="191029" iterateDelta="1E-4"/>
  <pivotCaches>
    <pivotCache cacheId="61" r:id="rId8"/>
    <pivotCache cacheId="68" r:id="rId9"/>
    <pivotCache cacheId="7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taff Performace!$A$1:$K$1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J14" i="3"/>
  <c r="D14" i="3"/>
  <c r="F3" i="5"/>
  <c r="E3" i="5"/>
  <c r="D3" i="5"/>
  <c r="R4" i="1"/>
  <c r="R3" i="1"/>
  <c r="R2" i="1"/>
  <c r="K13" i="3"/>
  <c r="H13" i="3"/>
  <c r="E13" i="3"/>
  <c r="K12" i="3"/>
  <c r="H12" i="3"/>
  <c r="E12" i="3"/>
  <c r="K11" i="3"/>
  <c r="H11" i="3"/>
  <c r="E11" i="3"/>
  <c r="K10" i="3"/>
  <c r="H10" i="3"/>
  <c r="E10" i="3"/>
  <c r="K9" i="3"/>
  <c r="H9" i="3"/>
  <c r="E9" i="3"/>
  <c r="K8" i="3"/>
  <c r="H8" i="3"/>
  <c r="E8" i="3"/>
  <c r="K7" i="3"/>
  <c r="H7" i="3"/>
  <c r="E7" i="3"/>
  <c r="K6" i="3"/>
  <c r="H6" i="3"/>
  <c r="E6" i="3"/>
  <c r="K5" i="3"/>
  <c r="H5" i="3"/>
  <c r="E5" i="3"/>
  <c r="K4" i="3"/>
  <c r="H4" i="3"/>
  <c r="E4" i="3"/>
  <c r="K3" i="3"/>
  <c r="H3" i="3"/>
  <c r="E3" i="3"/>
  <c r="K2" i="3"/>
  <c r="H2" i="3"/>
  <c r="E2" i="3"/>
  <c r="K6" i="2"/>
  <c r="K10" i="2"/>
  <c r="K15" i="2"/>
  <c r="K11" i="2"/>
  <c r="K9" i="2"/>
  <c r="K2" i="2"/>
  <c r="K7" i="2"/>
  <c r="K5" i="2"/>
  <c r="K3" i="2"/>
  <c r="K4" i="2"/>
  <c r="K8" i="2"/>
  <c r="K13" i="2"/>
  <c r="K14" i="2"/>
  <c r="K16" i="2"/>
  <c r="K12" i="2"/>
  <c r="N1099" i="1"/>
  <c r="M1099" i="1"/>
  <c r="L1099" i="1"/>
  <c r="N1098" i="1"/>
  <c r="M1098" i="1"/>
  <c r="L1098" i="1"/>
  <c r="N1097" i="1"/>
  <c r="M1097" i="1"/>
  <c r="L1097" i="1"/>
  <c r="N1096" i="1"/>
  <c r="M1096" i="1"/>
  <c r="L1096" i="1"/>
  <c r="N1095" i="1"/>
  <c r="M1095" i="1"/>
  <c r="L1095" i="1"/>
  <c r="N1094" i="1"/>
  <c r="M1094" i="1"/>
  <c r="L1094" i="1"/>
  <c r="N1093" i="1"/>
  <c r="M1093" i="1"/>
  <c r="L1093" i="1"/>
  <c r="N1092" i="1"/>
  <c r="M1092" i="1"/>
  <c r="L1092" i="1"/>
  <c r="N1091" i="1"/>
  <c r="M1091" i="1"/>
  <c r="L1091" i="1"/>
  <c r="N1090" i="1"/>
  <c r="M1090" i="1"/>
  <c r="L1090" i="1"/>
  <c r="N1089" i="1"/>
  <c r="M1089" i="1"/>
  <c r="L1089" i="1"/>
  <c r="N1088" i="1"/>
  <c r="M1088" i="1"/>
  <c r="L1088" i="1"/>
  <c r="N1087" i="1"/>
  <c r="M1087" i="1"/>
  <c r="L1087" i="1"/>
  <c r="N1086" i="1"/>
  <c r="M1086" i="1"/>
  <c r="L1086" i="1"/>
  <c r="N1085" i="1"/>
  <c r="M1085" i="1"/>
  <c r="L1085" i="1"/>
  <c r="N1084" i="1"/>
  <c r="M1084" i="1"/>
  <c r="L1084" i="1"/>
  <c r="N1083" i="1"/>
  <c r="M1083" i="1"/>
  <c r="L1083" i="1"/>
  <c r="N1082" i="1"/>
  <c r="M1082" i="1"/>
  <c r="L1082" i="1"/>
  <c r="N1081" i="1"/>
  <c r="M1081" i="1"/>
  <c r="L1081" i="1"/>
  <c r="N1080" i="1"/>
  <c r="M1080" i="1"/>
  <c r="L1080" i="1"/>
  <c r="N1079" i="1"/>
  <c r="M1079" i="1"/>
  <c r="L1079" i="1"/>
  <c r="N1078" i="1"/>
  <c r="M1078" i="1"/>
  <c r="L1078" i="1"/>
  <c r="N1077" i="1"/>
  <c r="M1077" i="1"/>
  <c r="L1077" i="1"/>
  <c r="N1076" i="1"/>
  <c r="M1076" i="1"/>
  <c r="L1076" i="1"/>
  <c r="N1075" i="1"/>
  <c r="M1075" i="1"/>
  <c r="L1075" i="1"/>
  <c r="N1074" i="1"/>
  <c r="M1074" i="1"/>
  <c r="L1074" i="1"/>
  <c r="N1073" i="1"/>
  <c r="M1073" i="1"/>
  <c r="L1073" i="1"/>
  <c r="N1072" i="1"/>
  <c r="M1072" i="1"/>
  <c r="L1072" i="1"/>
  <c r="N1071" i="1"/>
  <c r="M1071" i="1"/>
  <c r="L1071" i="1"/>
  <c r="N1070" i="1"/>
  <c r="M1070" i="1"/>
  <c r="L1070" i="1"/>
  <c r="N1069" i="1"/>
  <c r="M1069" i="1"/>
  <c r="L1069" i="1"/>
  <c r="N1068" i="1"/>
  <c r="M1068" i="1"/>
  <c r="L1068" i="1"/>
  <c r="N1067" i="1"/>
  <c r="M1067" i="1"/>
  <c r="L1067" i="1"/>
  <c r="N1066" i="1"/>
  <c r="M1066" i="1"/>
  <c r="L1066" i="1"/>
  <c r="N1065" i="1"/>
  <c r="M1065" i="1"/>
  <c r="L1065" i="1"/>
  <c r="N1064" i="1"/>
  <c r="M1064" i="1"/>
  <c r="L1064" i="1"/>
  <c r="N1063" i="1"/>
  <c r="M1063" i="1"/>
  <c r="L1063" i="1"/>
  <c r="N1062" i="1"/>
  <c r="M1062" i="1"/>
  <c r="L1062" i="1"/>
  <c r="N1061" i="1"/>
  <c r="M1061" i="1"/>
  <c r="L1061" i="1"/>
  <c r="N1060" i="1"/>
  <c r="M1060" i="1"/>
  <c r="L1060" i="1"/>
  <c r="N1059" i="1"/>
  <c r="M1059" i="1"/>
  <c r="L1059" i="1"/>
  <c r="N1058" i="1"/>
  <c r="M1058" i="1"/>
  <c r="L1058" i="1"/>
  <c r="N1057" i="1"/>
  <c r="M1057" i="1"/>
  <c r="L1057" i="1"/>
  <c r="N1056" i="1"/>
  <c r="M1056" i="1"/>
  <c r="L1056" i="1"/>
  <c r="N1055" i="1"/>
  <c r="M1055" i="1"/>
  <c r="L1055" i="1"/>
  <c r="N1054" i="1"/>
  <c r="M1054" i="1"/>
  <c r="L1054" i="1"/>
  <c r="N1053" i="1"/>
  <c r="M1053" i="1"/>
  <c r="L1053" i="1"/>
  <c r="N1052" i="1"/>
  <c r="M1052" i="1"/>
  <c r="L1052" i="1"/>
  <c r="N1051" i="1"/>
  <c r="M1051" i="1"/>
  <c r="L1051" i="1"/>
  <c r="N1050" i="1"/>
  <c r="M1050" i="1"/>
  <c r="L1050" i="1"/>
  <c r="N1049" i="1"/>
  <c r="M1049" i="1"/>
  <c r="L1049" i="1"/>
  <c r="N1048" i="1"/>
  <c r="M1048" i="1"/>
  <c r="L1048" i="1"/>
  <c r="N1047" i="1"/>
  <c r="M1047" i="1"/>
  <c r="L1047" i="1"/>
  <c r="N1046" i="1"/>
  <c r="M1046" i="1"/>
  <c r="L1046" i="1"/>
  <c r="N1045" i="1"/>
  <c r="M1045" i="1"/>
  <c r="L1045" i="1"/>
  <c r="N1044" i="1"/>
  <c r="M1044" i="1"/>
  <c r="L1044" i="1"/>
  <c r="N1043" i="1"/>
  <c r="M1043" i="1"/>
  <c r="L1043" i="1"/>
  <c r="N1042" i="1"/>
  <c r="M1042" i="1"/>
  <c r="L1042" i="1"/>
  <c r="N1041" i="1"/>
  <c r="M1041" i="1"/>
  <c r="L1041" i="1"/>
  <c r="N1040" i="1"/>
  <c r="M1040" i="1"/>
  <c r="L1040" i="1"/>
  <c r="N1039" i="1"/>
  <c r="M1039" i="1"/>
  <c r="L1039" i="1"/>
  <c r="N1038" i="1"/>
  <c r="M1038" i="1"/>
  <c r="L1038" i="1"/>
  <c r="N1037" i="1"/>
  <c r="M1037" i="1"/>
  <c r="L1037" i="1"/>
  <c r="N1036" i="1"/>
  <c r="M1036" i="1"/>
  <c r="L1036" i="1"/>
  <c r="N1035" i="1"/>
  <c r="M1035" i="1"/>
  <c r="L1035" i="1"/>
  <c r="N1034" i="1"/>
  <c r="M1034" i="1"/>
  <c r="L1034" i="1"/>
  <c r="N1033" i="1"/>
  <c r="M1033" i="1"/>
  <c r="L1033" i="1"/>
  <c r="N1032" i="1"/>
  <c r="M1032" i="1"/>
  <c r="L1032" i="1"/>
  <c r="N1031" i="1"/>
  <c r="M1031" i="1"/>
  <c r="L1031" i="1"/>
  <c r="N1030" i="1"/>
  <c r="M1030" i="1"/>
  <c r="L1030" i="1"/>
  <c r="N1029" i="1"/>
  <c r="M1029" i="1"/>
  <c r="L1029" i="1"/>
  <c r="N1028" i="1"/>
  <c r="M1028" i="1"/>
  <c r="L1028" i="1"/>
  <c r="N1027" i="1"/>
  <c r="M1027" i="1"/>
  <c r="L1027" i="1"/>
  <c r="N1026" i="1"/>
  <c r="M1026" i="1"/>
  <c r="L1026" i="1"/>
  <c r="N1025" i="1"/>
  <c r="M1025" i="1"/>
  <c r="L1025" i="1"/>
  <c r="N1024" i="1"/>
  <c r="M1024" i="1"/>
  <c r="L1024" i="1"/>
  <c r="N1023" i="1"/>
  <c r="M1023" i="1"/>
  <c r="L1023" i="1"/>
  <c r="N1022" i="1"/>
  <c r="M1022" i="1"/>
  <c r="L1022" i="1"/>
  <c r="N1021" i="1"/>
  <c r="M1021" i="1"/>
  <c r="L1021" i="1"/>
  <c r="N1020" i="1"/>
  <c r="M1020" i="1"/>
  <c r="L1020" i="1"/>
  <c r="N1019" i="1"/>
  <c r="M1019" i="1"/>
  <c r="L1019" i="1"/>
  <c r="N1018" i="1"/>
  <c r="M1018" i="1"/>
  <c r="L1018" i="1"/>
  <c r="N1017" i="1"/>
  <c r="M1017" i="1"/>
  <c r="L1017" i="1"/>
  <c r="N1016" i="1"/>
  <c r="M1016" i="1"/>
  <c r="L1016" i="1"/>
  <c r="N1015" i="1"/>
  <c r="M1015" i="1"/>
  <c r="L1015" i="1"/>
  <c r="N1014" i="1"/>
  <c r="M1014" i="1"/>
  <c r="L1014" i="1"/>
  <c r="N1013" i="1"/>
  <c r="M1013" i="1"/>
  <c r="L1013" i="1"/>
  <c r="N1012" i="1"/>
  <c r="M1012" i="1"/>
  <c r="L1012" i="1"/>
  <c r="N1011" i="1"/>
  <c r="M1011" i="1"/>
  <c r="L1011" i="1"/>
  <c r="N1010" i="1"/>
  <c r="M1010" i="1"/>
  <c r="L1010" i="1"/>
  <c r="N1009" i="1"/>
  <c r="M1009" i="1"/>
  <c r="L1009" i="1"/>
  <c r="N1008" i="1"/>
  <c r="M1008" i="1"/>
  <c r="L1008" i="1"/>
  <c r="N1007" i="1"/>
  <c r="M1007" i="1"/>
  <c r="L1007" i="1"/>
  <c r="N1006" i="1"/>
  <c r="M1006" i="1"/>
  <c r="L1006" i="1"/>
  <c r="N1005" i="1"/>
  <c r="M1005" i="1"/>
  <c r="L1005" i="1"/>
  <c r="N1004" i="1"/>
  <c r="M1004" i="1"/>
  <c r="L1004" i="1"/>
  <c r="N1003" i="1"/>
  <c r="M1003" i="1"/>
  <c r="L1003" i="1"/>
  <c r="N1002" i="1"/>
  <c r="M1002" i="1"/>
  <c r="L1002" i="1"/>
  <c r="N1001" i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P2" i="1" s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G3" i="5" s="1"/>
  <c r="P3" i="1" l="1"/>
  <c r="Q3" i="1" s="1"/>
  <c r="Q2" i="1"/>
  <c r="P4" i="1"/>
  <c r="Q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DF6C8-CFE3-4750-A1B1-AB603BE120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DEDFCCE-4492-4E79-8846-9563881F97C1}" name="WorksheetConnection_Staff Performace!$A$1:$K$1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taffPerformaceA1K161"/>
        </x15:connection>
      </ext>
    </extLst>
  </connection>
</connections>
</file>

<file path=xl/sharedStrings.xml><?xml version="1.0" encoding="utf-8"?>
<sst xmlns="http://schemas.openxmlformats.org/spreadsheetml/2006/main" count="4732" uniqueCount="550">
  <si>
    <t>Date</t>
  </si>
  <si>
    <t>Month</t>
  </si>
  <si>
    <t>Day_of_Week</t>
  </si>
  <si>
    <t>Shift</t>
  </si>
  <si>
    <t>Covers</t>
  </si>
  <si>
    <t>Revenue</t>
  </si>
  <si>
    <t>Food_Cost</t>
  </si>
  <si>
    <t>Staff_Count</t>
  </si>
  <si>
    <t>Avg_Table_Time_Min</t>
  </si>
  <si>
    <t>Complaints</t>
  </si>
  <si>
    <t>Guest_Rating</t>
  </si>
  <si>
    <t>Food_Cost_%</t>
  </si>
  <si>
    <t>Revenue_Per_Cover</t>
  </si>
  <si>
    <t>Staff_Efficiency</t>
  </si>
  <si>
    <t>2024-01-01</t>
  </si>
  <si>
    <t>January</t>
  </si>
  <si>
    <t>Monday</t>
  </si>
  <si>
    <t>Morning</t>
  </si>
  <si>
    <t>Evening</t>
  </si>
  <si>
    <t>Night</t>
  </si>
  <si>
    <t>2024-01-02</t>
  </si>
  <si>
    <t>Tuesday</t>
  </si>
  <si>
    <t>2024-01-03</t>
  </si>
  <si>
    <t>Wednesday</t>
  </si>
  <si>
    <t>2024-01-04</t>
  </si>
  <si>
    <t>Thursday</t>
  </si>
  <si>
    <t>2024-01-05</t>
  </si>
  <si>
    <t>Friday</t>
  </si>
  <si>
    <t>2024-01-06</t>
  </si>
  <si>
    <t>Saturday</t>
  </si>
  <si>
    <t>2024-01-07</t>
  </si>
  <si>
    <t>Sunday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</si>
  <si>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</si>
  <si>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</si>
  <si>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</si>
  <si>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</si>
  <si>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</si>
  <si>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</si>
  <si>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</si>
  <si>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</si>
  <si>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</si>
  <si>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</si>
  <si>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</si>
  <si>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</si>
  <si>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</si>
  <si>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</si>
  <si>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</si>
  <si>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</si>
  <si>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</si>
  <si>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</si>
  <si>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</si>
  <si>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</si>
  <si>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</si>
  <si>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</si>
  <si>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</si>
  <si>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</si>
  <si>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</si>
  <si>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</si>
  <si>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</si>
  <si>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</si>
  <si>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</si>
  <si>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</si>
  <si>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</si>
  <si>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</si>
  <si>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</si>
  <si>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</si>
  <si>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</si>
  <si>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</si>
  <si>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</si>
  <si>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</si>
  <si>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</si>
  <si>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</si>
  <si>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</si>
  <si>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</si>
  <si>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</si>
  <si>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</si>
  <si>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</si>
  <si>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</si>
  <si>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</si>
  <si>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</si>
  <si>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</si>
  <si>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</si>
  <si>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</si>
  <si>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</si>
  <si>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</si>
  <si>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</si>
  <si>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</si>
  <si>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</si>
  <si>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</si>
  <si>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</si>
  <si>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</si>
  <si>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</si>
  <si>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</si>
  <si>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</si>
  <si>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</si>
  <si>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</si>
  <si>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</si>
  <si>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</si>
  <si>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</si>
  <si>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</si>
  <si>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</si>
  <si>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</si>
  <si>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</si>
  <si>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</si>
  <si>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</si>
  <si>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</si>
  <si>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</si>
  <si>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</si>
  <si>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</si>
  <si>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</si>
  <si>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</si>
  <si>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</si>
  <si>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</si>
  <si>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</si>
  <si>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</si>
  <si>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</si>
  <si>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</si>
  <si>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</si>
  <si>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</si>
  <si>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</si>
  <si>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</si>
  <si>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</si>
  <si>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</si>
  <si>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</si>
  <si>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</si>
  <si>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</si>
  <si>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</si>
  <si>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</si>
  <si>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</si>
  <si>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</si>
  <si>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</si>
  <si>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</si>
  <si>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</si>
  <si>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</si>
  <si>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</si>
  <si>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</si>
  <si>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</si>
  <si>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</si>
  <si>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</si>
  <si>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</si>
  <si>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</si>
  <si>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</si>
  <si>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</si>
  <si>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</si>
  <si>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</si>
  <si>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</si>
  <si>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</si>
  <si>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</si>
  <si>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</si>
  <si>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</si>
  <si>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</si>
  <si>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</si>
  <si>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</si>
  <si>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</si>
  <si>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</si>
  <si>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</si>
  <si>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</si>
  <si>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</si>
  <si>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</si>
  <si>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</si>
  <si>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</si>
  <si>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</si>
  <si>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</si>
  <si>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</si>
  <si>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</si>
  <si>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</si>
  <si>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</si>
  <si>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</si>
  <si>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</si>
  <si>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</si>
  <si>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</si>
  <si>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</si>
  <si>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</si>
  <si>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</si>
  <si>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</si>
  <si>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</si>
  <si>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</si>
  <si>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</si>
  <si>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</si>
  <si>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</si>
  <si>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</si>
  <si>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</si>
  <si>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</si>
  <si>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</si>
  <si>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</si>
  <si>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</si>
  <si>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</si>
  <si>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</si>
  <si>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</si>
  <si>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</si>
  <si>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</si>
  <si>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</si>
  <si>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</si>
  <si>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</si>
  <si>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</si>
  <si>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</si>
  <si>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</si>
  <si>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</si>
  <si>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</si>
  <si>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</si>
  <si>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</si>
  <si>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</si>
  <si>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</si>
  <si>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</si>
  <si>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</si>
  <si>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</si>
  <si>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</si>
  <si>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</si>
  <si>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</si>
  <si>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</si>
  <si>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</si>
  <si>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</si>
  <si>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</si>
  <si>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July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</si>
  <si>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</si>
  <si>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</si>
  <si>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</si>
  <si>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</si>
  <si>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</si>
  <si>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</si>
  <si>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</si>
  <si>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</si>
  <si>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</si>
  <si>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</si>
  <si>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</si>
  <si>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</si>
  <si>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</si>
  <si>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</si>
  <si>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</si>
  <si>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</si>
  <si>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</si>
  <si>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</si>
  <si>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</si>
  <si>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</si>
  <si>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</si>
  <si>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</si>
  <si>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</si>
  <si>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</si>
  <si>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</si>
  <si>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</si>
  <si>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</si>
  <si>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</si>
  <si>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</si>
  <si>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</si>
  <si>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</si>
  <si>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August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</si>
  <si>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</si>
  <si>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</si>
  <si>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</si>
  <si>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</si>
  <si>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</si>
  <si>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</si>
  <si>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</si>
  <si>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</si>
  <si>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</si>
  <si>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</si>
  <si>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</si>
  <si>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</si>
  <si>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</si>
  <si>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</si>
  <si>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</si>
  <si>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</si>
  <si>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</si>
  <si>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</si>
  <si>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</si>
  <si>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</si>
  <si>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</si>
  <si>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</si>
  <si>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</si>
  <si>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</si>
  <si>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</si>
  <si>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</si>
  <si>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</si>
  <si>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</si>
  <si>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</si>
  <si>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</si>
  <si>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</si>
  <si>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September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</si>
  <si>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</si>
  <si>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</si>
  <si>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</si>
  <si>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</si>
  <si>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</si>
  <si>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</si>
  <si>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</si>
  <si>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</si>
  <si>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</si>
  <si>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</si>
  <si>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</si>
  <si>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</si>
  <si>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</si>
  <si>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</si>
  <si>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</si>
  <si>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</si>
  <si>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</si>
  <si>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</si>
  <si>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</si>
  <si>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</si>
  <si>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</si>
  <si>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</si>
  <si>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</si>
  <si>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</si>
  <si>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</si>
  <si>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</si>
  <si>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</si>
  <si>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</si>
  <si>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</si>
  <si>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</si>
  <si>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October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</si>
  <si>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</si>
  <si>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</si>
  <si>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</si>
  <si>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</si>
  <si>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</si>
  <si>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</si>
  <si>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</si>
  <si>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</si>
  <si>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</si>
  <si>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</si>
  <si>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</si>
  <si>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</si>
  <si>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</si>
  <si>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</si>
  <si>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</si>
  <si>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</si>
  <si>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</si>
  <si>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</si>
  <si>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</si>
  <si>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</si>
  <si>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</si>
  <si>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</si>
  <si>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</si>
  <si>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</si>
  <si>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</si>
  <si>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</si>
  <si>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</si>
  <si>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</si>
  <si>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</si>
  <si>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</si>
  <si>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</si>
  <si>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November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</si>
  <si>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</si>
  <si>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</si>
  <si>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</si>
  <si>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</si>
  <si>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</si>
  <si>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</si>
  <si>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</si>
  <si>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</si>
  <si>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</si>
  <si>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</si>
  <si>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</si>
  <si>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</si>
  <si>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</si>
  <si>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</si>
  <si>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</si>
  <si>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</si>
  <si>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</si>
  <si>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</si>
  <si>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</si>
  <si>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</si>
  <si>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</si>
  <si>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</si>
  <si>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</si>
  <si>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</si>
  <si>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</si>
  <si>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</si>
  <si>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</si>
  <si>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</si>
  <si>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</si>
  <si>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</si>
  <si>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December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</si>
  <si>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</si>
  <si>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</si>
  <si>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</si>
  <si>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</si>
  <si>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</si>
  <si>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</si>
  <si>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</si>
  <si>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</si>
  <si>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</si>
  <si>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</si>
  <si>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</si>
  <si>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</si>
  <si>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</si>
  <si>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</si>
  <si>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</si>
  <si>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</si>
  <si>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</si>
  <si>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</si>
  <si>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</si>
  <si>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</si>
  <si>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</si>
  <si>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</si>
  <si>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</si>
  <si>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</si>
  <si>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</si>
  <si>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</si>
  <si>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</si>
  <si>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</si>
  <si>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</si>
  <si>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</si>
  <si>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Staff_ID</t>
  </si>
  <si>
    <t>Name</t>
  </si>
  <si>
    <t>Role</t>
  </si>
  <si>
    <t>Total_Covers_Handled</t>
  </si>
  <si>
    <t>Avg_Upsell_Per_Shift</t>
  </si>
  <si>
    <t>Punctuality_%</t>
  </si>
  <si>
    <t>Avg_Guest_Rating</t>
  </si>
  <si>
    <t>Complaints_Against</t>
  </si>
  <si>
    <t>Months_Experience</t>
  </si>
  <si>
    <t>Performance_Score</t>
  </si>
  <si>
    <t>S001</t>
  </si>
  <si>
    <t>Rahul Sharma</t>
  </si>
  <si>
    <t>Waiter</t>
  </si>
  <si>
    <t>S002</t>
  </si>
  <si>
    <t>Priya Verma</t>
  </si>
  <si>
    <t>S003</t>
  </si>
  <si>
    <t>Amit Yadav</t>
  </si>
  <si>
    <t>S004</t>
  </si>
  <si>
    <t>Sunita Patel</t>
  </si>
  <si>
    <t>S005</t>
  </si>
  <si>
    <t>Mohit Kumar</t>
  </si>
  <si>
    <t>S006</t>
  </si>
  <si>
    <t>Kavita Singh</t>
  </si>
  <si>
    <t>Chef</t>
  </si>
  <si>
    <t>S007</t>
  </si>
  <si>
    <t>Ravi Gupta</t>
  </si>
  <si>
    <t>S008</t>
  </si>
  <si>
    <t>Neha Jain</t>
  </si>
  <si>
    <t>S009</t>
  </si>
  <si>
    <t>Sanjay Das</t>
  </si>
  <si>
    <t>Manager</t>
  </si>
  <si>
    <t>S010</t>
  </si>
  <si>
    <t>Meena Tiwari</t>
  </si>
  <si>
    <t>S011</t>
  </si>
  <si>
    <t>Vikram Nair</t>
  </si>
  <si>
    <t>S012</t>
  </si>
  <si>
    <t>Anita Bose</t>
  </si>
  <si>
    <t>S013</t>
  </si>
  <si>
    <t>Rohit Mishra</t>
  </si>
  <si>
    <t>S014</t>
  </si>
  <si>
    <t>Swati Agarwal</t>
  </si>
  <si>
    <t>S015</t>
  </si>
  <si>
    <t>Manish Roy</t>
  </si>
  <si>
    <t>Total_Covers</t>
  </si>
  <si>
    <t>Total_Revenue</t>
  </si>
  <si>
    <t>Total_Food_Cost</t>
  </si>
  <si>
    <t>Avg_Food_Cost_%</t>
  </si>
  <si>
    <t>Total_Complaints</t>
  </si>
  <si>
    <t>Avg_Revenue_Per_Cover</t>
  </si>
  <si>
    <t>Best_Shift</t>
  </si>
  <si>
    <t>Target_Revenue</t>
  </si>
  <si>
    <t>vs_Target_%</t>
  </si>
  <si>
    <t>⚔️ LEVEL 3 — HOTEL OPERATIONS DASHBOARD  |  Your Most Unique Project</t>
  </si>
  <si>
    <t>This is YOUR industry. You know this data better than any other analyst. Build it like a GM presenting to hotel owners.</t>
  </si>
  <si>
    <t>Task</t>
  </si>
  <si>
    <t>Business Question</t>
  </si>
  <si>
    <t>How To Do It</t>
  </si>
  <si>
    <t>Skill</t>
  </si>
  <si>
    <t>Difficulty</t>
  </si>
  <si>
    <t>Done?</t>
  </si>
  <si>
    <t>TASK 1</t>
  </si>
  <si>
    <t>Which shift generates most revenue?</t>
  </si>
  <si>
    <t>Pivot: Rows=Shift | Values=Revenue (SUM)
Sort descending
Which shift = highest revenue?</t>
  </si>
  <si>
    <t>Pivot Table</t>
  </si>
  <si>
    <t>⭐</t>
  </si>
  <si>
    <t>☐</t>
  </si>
  <si>
    <t>TASK 2</t>
  </si>
  <si>
    <t>What is average Food Cost % — is it healthy?</t>
  </si>
  <si>
    <t>AVERAGEIF for each shift:
=AVERAGEIF(D2:D1099,"Evening",L2:L1099)
Healthy = below 35% | Above 40% = problem</t>
  </si>
  <si>
    <t>AVERAGEIF</t>
  </si>
  <si>
    <t>⭐⭐</t>
  </si>
  <si>
    <t>TASK 3</t>
  </si>
  <si>
    <t>Which day of week is busiest?</t>
  </si>
  <si>
    <t>Pivot: Rows=Day_of_Week | Values=Covers (SUM) and Revenue (SUM)
Sort by Revenue
Which day brings most guests AND money?</t>
  </si>
  <si>
    <t>Pivot + Sorting</t>
  </si>
  <si>
    <t>TASK 4</t>
  </si>
  <si>
    <t>Monthly Revenue Trend — are we growing?</t>
  </si>
  <si>
    <t>Use Monthly_Summary sheet
Create Line Chart: Month vs Total_Revenue
Add Target line on same chart
Are we hitting targets?</t>
  </si>
  <si>
    <t>Line Chart + Target Line</t>
  </si>
  <si>
    <t>⭐⭐⭐</t>
  </si>
  <si>
    <t>TASK 5</t>
  </si>
  <si>
    <t>Top 3 performing staff members</t>
  </si>
  <si>
    <t>Go to Staff_Performance sheet
Sort by Performance_Score descending
Top 3 = your star performers
Create Bar Chart: Name vs Score</t>
  </si>
  <si>
    <t>Sorting + Bar Chart</t>
  </si>
  <si>
    <t>TASK 6</t>
  </si>
  <si>
    <t>Guest satisfaction trend — improving or declining?</t>
  </si>
  <si>
    <t>Pivot from Daily_Operations: Month vs Avg_Guest_Rating
Create Line Chart
Is rating going up or down over the year?</t>
  </si>
  <si>
    <t>Trend Analysis</t>
  </si>
  <si>
    <t>TASK 7</t>
  </si>
  <si>
    <t>Food Cost % Conditional Formatting</t>
  </si>
  <si>
    <t>In Monthly_Summary sheet — column E (Food_Cost_%)
Conditional Formatting:
Green = below 33% | Yellow = 33-38% | Red = above 38%
How many months were in red?</t>
  </si>
  <si>
    <t>Conditional Formatting</t>
  </si>
  <si>
    <t>TASK 8</t>
  </si>
  <si>
    <t>Revenue per Cover analysis</t>
  </si>
  <si>
    <t>Which shift has highest Revenue Per Cover?
=AVERAGEIF(D2:D1099,"Evening",M2:M1099)
Do for all 3 shifts
Higher rev per cover = better quality customers</t>
  </si>
  <si>
    <t>TASK 9 — DASHBOARD</t>
  </si>
  <si>
    <t>Build the Operations Dashboard</t>
  </si>
  <si>
    <t>New sheet: Hotel_Dashboard
1. Title: Hotel Operations Dashboard 2024
2. KPIs: Total Revenue, Total Covers, Avg Rating, Best Month
3. Chart 1: Monthly Revenue vs Target (Line)
4. Chart 2: Revenue by Shift (Bar)
5. Chart 3: Day-wise Covers (Column)
6. Chart 4: Staff Performance Top 5 (Bar)
7. Slicer: Month</t>
  </si>
  <si>
    <t>Full Dashboard</t>
  </si>
  <si>
    <t>⭐⭐⭐⭐⭐</t>
  </si>
  <si>
    <t>TASK 10 — BOSS BATTLE</t>
  </si>
  <si>
    <t>Write GM Report — 5 Business Insights</t>
  </si>
  <si>
    <t>Go to GM_Report sheet
Answer all 5 questions
Write like you are a General Manager presenting to hotel owners
Use data numbers in every answer</t>
  </si>
  <si>
    <t>Analyst Thinking</t>
  </si>
  <si>
    <t>Row Labels</t>
  </si>
  <si>
    <t>Grand Total</t>
  </si>
  <si>
    <t>Sum of Revenue</t>
  </si>
  <si>
    <t>Average Food Cost Status</t>
  </si>
  <si>
    <t>Sum of Covers</t>
  </si>
  <si>
    <t>Sum of Performance_Score</t>
  </si>
  <si>
    <t>Average of Guest_Rating</t>
  </si>
  <si>
    <t>Avg Food Cost</t>
  </si>
  <si>
    <t>Week Summary</t>
  </si>
  <si>
    <t>Average of Food_Cost_%</t>
  </si>
  <si>
    <t>Average of Avg_Table_Time_Min</t>
  </si>
  <si>
    <t>Best Shift by Revenue</t>
  </si>
  <si>
    <t>Total Covers</t>
  </si>
  <si>
    <t>Avg Guest Rating</t>
  </si>
  <si>
    <t>Avg Food Cost %</t>
  </si>
  <si>
    <t>Total Revenue</t>
  </si>
  <si>
    <t>Total Staff</t>
  </si>
  <si>
    <t>📋 GM REPORT — Present This To Hotel Owners Like A General Manager</t>
  </si>
  <si>
    <t>You managed operations for 4+ years. Write these answers with that authority. Use actual numbers from your analysis.</t>
  </si>
  <si>
    <t>Section</t>
  </si>
  <si>
    <t>Question</t>
  </si>
  <si>
    <t>Data Hint</t>
  </si>
  <si>
    <t>Your Answer (Type Here)</t>
  </si>
  <si>
    <t>Q1 — Revenue Performance</t>
  </si>
  <si>
    <t>Did the hotel hit its monthly revenue targets? Which months overperformed and which underperformed?</t>
  </si>
  <si>
    <t>Look at Monthly_Summary column K (vs Target %). Green months = above target. Red = below. What pattern do you see?</t>
  </si>
  <si>
    <t>Yes the Hotel hit it's monthly tsrget, the total target was for ₹25100000 and Hotel reached the target is ₹25320000 the diffrence of amount is ₹ 220000. Months that outperfomed are Jan, Feb, march, Apr,July also May and June perfomred equal to the target and the rest month performed low</t>
  </si>
  <si>
    <t>Q2 — Operational Efficiency</t>
  </si>
  <si>
    <t>Is our Food Cost % under control? Which shift has the highest food wastage risk?</t>
  </si>
  <si>
    <t>Healthy food cost = below 35%. Above 40% = serious problem. Which shift and which months need attention?</t>
  </si>
  <si>
    <t xml:space="preserve">month July has the most % i.e 38% compared to rest of the months </t>
  </si>
  <si>
    <t>Q3 — Peak Operations Strategy</t>
  </si>
  <si>
    <t>Which day and shift combination generates maximum revenue? How should we staff accordingly?</t>
  </si>
  <si>
    <t>Friday/Saturday Evening = typically peak. Does your data confirm this? What staffing recommendation would you make?</t>
  </si>
  <si>
    <t>Saturaday and Evening generated maximum revenue.</t>
  </si>
  <si>
    <t>Q4 — Staff Performance</t>
  </si>
  <si>
    <t>Who are your top 3 performers? What makes them stand out vs bottom performers?</t>
  </si>
  <si>
    <t>Look at Performance_Score in Staff_Performance sheet. What is the gap between top and bottom? What would you do about low performers?</t>
  </si>
  <si>
    <t>Meena Tiwari, Ravi Gupta, Kavita Singh are the top 3 candidates, they oupurformed because of their punctuality, good avg guest rating, and less number of complaints. Encourage them to be puctual, Give training in communication, guest handling, complaint handling etc</t>
  </si>
  <si>
    <t>Q5 — Guest Experience</t>
  </si>
  <si>
    <t>Is guest satisfaction improving or declining? What is causing the pattern you see?</t>
  </si>
  <si>
    <t>Look at monthly Avg_Guest_Rating trend. Is it going up toward December or dropping? What operational change would you recommend?</t>
  </si>
  <si>
    <t>Yes, Guest Satisfaction is improving every month. Training the staff can improve more guest satisfaction score</t>
  </si>
  <si>
    <t>Revenue per Cover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</si>
</sst>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₹#,##0"/>
    <numFmt numFmtId="166" formatCode="0.0"/>
    <numFmt numFmtId="167" formatCode="&quot;₹&quot;\ #,##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9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i/>
      <sz val="10"/>
      <color rgb="FF2E75B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i/>
      <sz val="10"/>
      <color rgb="FF2E75B6"/>
      <name val="Arial"/>
      <family val="2"/>
    </font>
    <font>
      <b/>
      <sz val="10"/>
      <color rgb="FF1F4E79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pivotButton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275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&quot;₹&quot;\ #,##0"/>
    </dxf>
    <dxf>
      <font>
        <b/>
        <i val="0"/>
        <color theme="6"/>
      </font>
    </dxf>
    <dxf>
      <font>
        <b/>
        <i val="0"/>
        <color rgb="FFFFC000"/>
      </font>
    </dxf>
    <dxf>
      <font>
        <b/>
        <i val="0"/>
        <color rgb="FFC00000"/>
      </font>
    </dxf>
    <dxf>
      <font>
        <b/>
        <i val="0"/>
        <color theme="6"/>
      </font>
    </dxf>
    <dxf>
      <font>
        <b/>
        <i val="0"/>
        <color rgb="FF705500"/>
      </font>
    </dxf>
    <dxf>
      <font>
        <b/>
        <i val="0"/>
        <color rgb="FFC00000"/>
      </font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₹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6" formatCode="0.0"/>
    </dxf>
    <dxf>
      <numFmt numFmtId="166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\₹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mruColors>
      <color rgb="FF000B76"/>
      <color rgb="FF705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[Hotel_Operations_Dashboard_Amaan.xlsx]Pivot Table!P1 Total Revenue by Month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</a:t>
            </a:r>
            <a:r>
              <a:rPr lang="en-IN" baseline="0"/>
              <a:t>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Table'!$B$30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Table'!$A$31:$A$43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Table'!$B$31:$B$43</c:f>
              <c:numCache>
                <c:formatCode>"₹"\ #,##0</c:formatCode>
                <c:ptCount val="12"/>
                <c:pt idx="0">
                  <c:v>2178934</c:v>
                </c:pt>
                <c:pt idx="1">
                  <c:v>1889891</c:v>
                </c:pt>
                <c:pt idx="2">
                  <c:v>2006142</c:v>
                </c:pt>
                <c:pt idx="3">
                  <c:v>1956817</c:v>
                </c:pt>
                <c:pt idx="4">
                  <c:v>2000250</c:v>
                </c:pt>
                <c:pt idx="5">
                  <c:v>1620711</c:v>
                </c:pt>
                <c:pt idx="6">
                  <c:v>1632078</c:v>
                </c:pt>
                <c:pt idx="7">
                  <c:v>2119065</c:v>
                </c:pt>
                <c:pt idx="8">
                  <c:v>1854892</c:v>
                </c:pt>
                <c:pt idx="9">
                  <c:v>2012139</c:v>
                </c:pt>
                <c:pt idx="10">
                  <c:v>2225018</c:v>
                </c:pt>
                <c:pt idx="11">
                  <c:v>2275543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57-4164-BACA-62BBCD723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984251887"/>
        <c:axId val="984248527"/>
      </c:lineChart>
      <c:catAx>
        <c:axId val="9842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248527"/>
        <c:crosses val="autoZero"/>
        <c:auto val="1"/>
        <c:lblAlgn val="ctr"/>
        <c:lblOffset val="100"/>
        <c:noMultiLvlLbl val="0"/>
      </c:catAx>
      <c:valAx>
        <c:axId val="984248527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25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[Hotel_Operations_Dashboard_Amaan.xlsx]Pivot Table!P2 Total Revenue by Shift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'Pivot Table'!$A$7:$A$10</c:f>
              <c:strCache>
                <c:ptCount val="3"/>
                <c:pt idx="0">
                  <c:v>Evening</c:v>
                </c:pt>
                <c:pt idx="1">
                  <c:v>Night</c:v>
                </c:pt>
                <c:pt idx="2">
                  <c:v>Morning</c:v>
                </c:pt>
              </c:strCache>
            </c:strRef>
          </c:cat>
          <c:val>
            <c:numRef>
              <c:f>'Pivot Table'!$B$7:$B$10</c:f>
              <c:numCache>
                <c:formatCode>"₹"\ #,##0</c:formatCode>
                <c:ptCount val="3"/>
                <c:pt idx="0">
                  <c:v>14889027</c:v>
                </c:pt>
                <c:pt idx="1">
                  <c:v>5554950</c:v>
                </c:pt>
                <c:pt idx="2">
                  <c:v>3327503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3-46A5-935A-1E2926C1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512911567"/>
        <c:axId val="512915887"/>
      </c:barChart>
      <c:catAx>
        <c:axId val="51291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15887"/>
        <c:crosses val="autoZero"/>
        <c:auto val="1"/>
        <c:lblAlgn val="ctr"/>
        <c:lblOffset val="100"/>
        <c:noMultiLvlLbl val="0"/>
      </c:catAx>
      <c:valAx>
        <c:axId val="512915887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1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[Hotel_Operations_Dashboard_Amaan.xlsx]Pivot Table!P3 Total cover by month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400"/>
              <a:t>TOTAL COVERS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Table'!$F$23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'Pivot Table'!$E$24:$E$36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Table'!$F$24:$F$36</c:f>
              <c:numCache>
                <c:formatCode>#,##0</c:formatCode>
                <c:ptCount val="12"/>
                <c:pt idx="0">
                  <c:v>6901</c:v>
                </c:pt>
                <c:pt idx="1">
                  <c:v>5857</c:v>
                </c:pt>
                <c:pt idx="2">
                  <c:v>6267</c:v>
                </c:pt>
                <c:pt idx="3">
                  <c:v>6038</c:v>
                </c:pt>
                <c:pt idx="4">
                  <c:v>6409</c:v>
                </c:pt>
                <c:pt idx="5">
                  <c:v>4951</c:v>
                </c:pt>
                <c:pt idx="6">
                  <c:v>5141</c:v>
                </c:pt>
                <c:pt idx="7">
                  <c:v>6600</c:v>
                </c:pt>
                <c:pt idx="8">
                  <c:v>5825</c:v>
                </c:pt>
                <c:pt idx="9">
                  <c:v>6192</c:v>
                </c:pt>
                <c:pt idx="10">
                  <c:v>6829</c:v>
                </c:pt>
                <c:pt idx="11">
                  <c:v>7028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8-434A-9D4D-E27EDD35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981938559"/>
        <c:axId val="981933759"/>
      </c:areaChart>
      <c:catAx>
        <c:axId val="98193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33759"/>
        <c:crosses val="autoZero"/>
        <c:auto val="1"/>
        <c:lblAlgn val="ctr"/>
        <c:lblOffset val="100"/>
        <c:noMultiLvlLbl val="0"/>
      </c:catAx>
      <c:valAx>
        <c:axId val="98193375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3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TOTAL COVERS BY SHIFT</a:t>
            </a:r>
          </a:p>
        </c:rich>
      </c:tx>
      <c:layout>
        <c:manualLayout>
          <c:xMode val="edge"/>
          <c:yMode val="edge"/>
          <c:x val="2.982654091869039E-2"/>
          <c:y val="0.111111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6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2.3677621416170344E-2"/>
              <c:y val="0.1111111111111110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</c:pivotFmts>
    <c:plotArea>
      <c:layout>
        <c:manualLayout>
          <c:layoutTarget val="inner"/>
          <c:xMode val="edge"/>
          <c:yMode val="edge"/>
          <c:x val="0.47989966687981284"/>
          <c:y val="7.407407407407407E-2"/>
          <c:w val="0.48615921606322582"/>
          <c:h val="0.85696230679498397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1E7-4A89-B9BF-4B3ADA7EA15B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1E7-4A89-B9BF-4B3ADA7EA15B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1E7-4A89-B9BF-4B3ADA7EA15B}"/>
              </c:ext>
            </c:extLst>
          </c:dPt>
          <c:dLbls>
            <c:dLbl>
              <c:idx val="0"/>
              <c:layout>
                <c:manualLayout>
                  <c:x val="-2.3677621416170344E-2"/>
                  <c:y val="0.1111111111111110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E7-4A89-B9BF-4B3ADA7EA15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52891660248845"/>
                      <c:h val="0.194768518518518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1E7-4A89-B9BF-4B3ADA7EA15B}"/>
                </c:ext>
              </c:extLst>
            </c:dLbl>
            <c:dLbl>
              <c:idx val="2"/>
              <c:layout>
                <c:manualLayout>
                  <c:x val="5.2528263928468814E-2"/>
                  <c:y val="-6.0185185185185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E7-4A89-B9BF-4B3ADA7EA1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Evening</c:v>
              </c:pt>
              <c:pt idx="1">
                <c:v>Morning</c:v>
              </c:pt>
              <c:pt idx="2">
                <c:v>Night</c:v>
              </c:pt>
            </c:strLit>
          </c:cat>
          <c:val>
            <c:numLit>
              <c:formatCode>General</c:formatCode>
              <c:ptCount val="3"/>
              <c:pt idx="0">
                <c:v>39301</c:v>
              </c:pt>
              <c:pt idx="1">
                <c:v>14569</c:v>
              </c:pt>
              <c:pt idx="2">
                <c:v>20168</c:v>
              </c:pt>
            </c:numLit>
          </c:val>
          <c:extLst>
            <c:ext xmlns:c16="http://schemas.microsoft.com/office/drawing/2014/chart" uri="{C3380CC4-5D6E-409C-BE32-E72D297353CC}">
              <c16:uniqueId val="{00000006-41E7-4A89-B9BF-4B3ADA7EA1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0836539487605229E-4"/>
          <c:y val="0.44479476523767864"/>
          <c:w val="0.25399028682086544"/>
          <c:h val="0.50786380869058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[Hotel_Operations_Dashboard_Amaan.xlsx]Pivot Table!P5 Average Food Cost percentage by Month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FOOD COST %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Table'!$I$25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Table'!$H$26:$H$38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Table'!$I$26:$I$38</c:f>
              <c:numCache>
                <c:formatCode>0.0%</c:formatCode>
                <c:ptCount val="12"/>
                <c:pt idx="0">
                  <c:v>0.34815427456765363</c:v>
                </c:pt>
                <c:pt idx="1">
                  <c:v>0.35022025057102313</c:v>
                </c:pt>
                <c:pt idx="2">
                  <c:v>0.34766369391797253</c:v>
                </c:pt>
                <c:pt idx="3">
                  <c:v>0.35132498747974539</c:v>
                </c:pt>
                <c:pt idx="4">
                  <c:v>0.35266410241311602</c:v>
                </c:pt>
                <c:pt idx="5">
                  <c:v>0.34373757603692945</c:v>
                </c:pt>
                <c:pt idx="6">
                  <c:v>0.34253515576879268</c:v>
                </c:pt>
                <c:pt idx="7">
                  <c:v>0.3619673524397683</c:v>
                </c:pt>
                <c:pt idx="8">
                  <c:v>0.34708815220988348</c:v>
                </c:pt>
                <c:pt idx="9">
                  <c:v>0.34855382159260706</c:v>
                </c:pt>
                <c:pt idx="10">
                  <c:v>0.34219122957243836</c:v>
                </c:pt>
                <c:pt idx="11">
                  <c:v>0.34932247097008717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0-4932-A3EF-6E29C4E6D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786248031"/>
        <c:axId val="1786223071"/>
      </c:lineChart>
      <c:catAx>
        <c:axId val="178624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23071"/>
        <c:crosses val="autoZero"/>
        <c:auto val="1"/>
        <c:lblAlgn val="ctr"/>
        <c:lblOffset val="100"/>
        <c:noMultiLvlLbl val="0"/>
      </c:catAx>
      <c:valAx>
        <c:axId val="178622307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4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[Hotel_Operations_Dashboard_Amaan.xlsx]Pivot Table!P6 Average Table time by Shift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TABLE</a:t>
            </a:r>
            <a:r>
              <a:rPr lang="en-US" baseline="0"/>
              <a:t> TIME BY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Table'!$A$16:$A$19</c:f>
              <c:strCache>
                <c:ptCount val="3"/>
                <c:pt idx="0">
                  <c:v>Evening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'Pivot Table'!$B$16:$B$19</c:f>
              <c:numCache>
                <c:formatCode>0.0</c:formatCode>
                <c:ptCount val="3"/>
                <c:pt idx="0">
                  <c:v>60.37158469945355</c:v>
                </c:pt>
                <c:pt idx="1">
                  <c:v>45.341530054644807</c:v>
                </c:pt>
                <c:pt idx="2">
                  <c:v>51.691256830601091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E-48D1-AC8E-42F666058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1786251391"/>
        <c:axId val="1786263871"/>
        <c:axId val="0"/>
      </c:bar3DChart>
      <c:catAx>
        <c:axId val="178625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63871"/>
        <c:crosses val="autoZero"/>
        <c:auto val="1"/>
        <c:lblAlgn val="ctr"/>
        <c:lblOffset val="100"/>
        <c:noMultiLvlLbl val="0"/>
      </c:catAx>
      <c:valAx>
        <c:axId val="178626387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5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43140</xdr:colOff>
      <xdr:row>0</xdr:row>
      <xdr:rowOff>9524</xdr:rowOff>
    </xdr:from>
    <xdr:to>
      <xdr:col>29</xdr:col>
      <xdr:colOff>120208</xdr:colOff>
      <xdr:row>36</xdr:row>
      <xdr:rowOff>163285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BA0DCD9-B203-FA79-6B4F-D704C76D070F}"/>
            </a:ext>
          </a:extLst>
        </xdr:cNvPr>
        <xdr:cNvSpPr/>
      </xdr:nvSpPr>
      <xdr:spPr>
        <a:xfrm>
          <a:off x="43140" y="9524"/>
          <a:ext cx="17291341" cy="7288852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66674</xdr:colOff>
      <xdr:row>0</xdr:row>
      <xdr:rowOff>66676</xdr:rowOff>
    </xdr:from>
    <xdr:to>
      <xdr:col>28</xdr:col>
      <xdr:colOff>554182</xdr:colOff>
      <xdr:row>2</xdr:row>
      <xdr:rowOff>156882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9451FC6-7065-71F0-3CB8-6165932A2490}"/>
            </a:ext>
          </a:extLst>
        </xdr:cNvPr>
        <xdr:cNvSpPr/>
      </xdr:nvSpPr>
      <xdr:spPr>
        <a:xfrm>
          <a:off x="66674" y="66676"/>
          <a:ext cx="17095644" cy="471206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/>
            <a:t>Hotel Operations Dashboard — 2024</a:t>
          </a:r>
        </a:p>
      </xdr:txBody>
    </xdr:sp>
    <xdr:clientData/>
  </xdr:twoCellAnchor>
  <xdr:twoCellAnchor>
    <xdr:from>
      <xdr:col>0</xdr:col>
      <xdr:colOff>112059</xdr:colOff>
      <xdr:row>3</xdr:row>
      <xdr:rowOff>33617</xdr:rowOff>
    </xdr:from>
    <xdr:to>
      <xdr:col>3</xdr:col>
      <xdr:colOff>470648</xdr:colOff>
      <xdr:row>36</xdr:row>
      <xdr:rowOff>83344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1F6713E-20BB-BF00-201E-F66BCF642CDC}"/>
            </a:ext>
          </a:extLst>
        </xdr:cNvPr>
        <xdr:cNvSpPr/>
      </xdr:nvSpPr>
      <xdr:spPr>
        <a:xfrm>
          <a:off x="112059" y="605117"/>
          <a:ext cx="1811152" cy="6336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44823</xdr:colOff>
      <xdr:row>3</xdr:row>
      <xdr:rowOff>179295</xdr:rowOff>
    </xdr:from>
    <xdr:to>
      <xdr:col>3</xdr:col>
      <xdr:colOff>235324</xdr:colOff>
      <xdr:row>8</xdr:row>
      <xdr:rowOff>168089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C705F12-C944-75FA-EC24-72D79D66B180}"/>
            </a:ext>
          </a:extLst>
        </xdr:cNvPr>
        <xdr:cNvSpPr/>
      </xdr:nvSpPr>
      <xdr:spPr>
        <a:xfrm>
          <a:off x="280147" y="750795"/>
          <a:ext cx="1400736" cy="941294"/>
        </a:xfrm>
        <a:prstGeom prst="roundRect">
          <a:avLst/>
        </a:prstGeom>
        <a:solidFill>
          <a:srgbClr val="705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Orders</a:t>
          </a:r>
          <a:endParaRPr lang="en-IN" sz="1600" b="1">
            <a:effectLst/>
          </a:endParaRPr>
        </a:p>
        <a:p>
          <a:pPr algn="ctr"/>
          <a:r>
            <a:rPr lang="en-IN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1098</a:t>
          </a:r>
          <a:endParaRPr lang="en-IN" sz="1600">
            <a:effectLst/>
          </a:endParaRPr>
        </a:p>
      </xdr:txBody>
    </xdr:sp>
    <xdr:clientData/>
  </xdr:twoCellAnchor>
  <xdr:twoCellAnchor>
    <xdr:from>
      <xdr:col>1</xdr:col>
      <xdr:colOff>51546</xdr:colOff>
      <xdr:row>14</xdr:row>
      <xdr:rowOff>141194</xdr:rowOff>
    </xdr:from>
    <xdr:to>
      <xdr:col>3</xdr:col>
      <xdr:colOff>242047</xdr:colOff>
      <xdr:row>19</xdr:row>
      <xdr:rowOff>129988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9FC10FB-C1F2-49B5-3D81-3D682CE766D1}"/>
            </a:ext>
          </a:extLst>
        </xdr:cNvPr>
        <xdr:cNvSpPr/>
      </xdr:nvSpPr>
      <xdr:spPr>
        <a:xfrm>
          <a:off x="286870" y="2808194"/>
          <a:ext cx="1400736" cy="941294"/>
        </a:xfrm>
        <a:prstGeom prst="roundRect">
          <a:avLst/>
        </a:prstGeom>
        <a:solidFill>
          <a:srgbClr val="705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Staff</a:t>
          </a:r>
          <a:endParaRPr lang="en-IN" sz="1600" b="1">
            <a:effectLst/>
          </a:endParaRPr>
        </a:p>
        <a:p>
          <a:pPr algn="ctr"/>
          <a:r>
            <a:rPr lang="en-IN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15</a:t>
          </a:r>
          <a:endParaRPr lang="en-IN" sz="1600">
            <a:effectLst/>
          </a:endParaRPr>
        </a:p>
      </xdr:txBody>
    </xdr:sp>
    <xdr:clientData/>
  </xdr:twoCellAnchor>
  <xdr:twoCellAnchor>
    <xdr:from>
      <xdr:col>1</xdr:col>
      <xdr:colOff>58270</xdr:colOff>
      <xdr:row>9</xdr:row>
      <xdr:rowOff>69477</xdr:rowOff>
    </xdr:from>
    <xdr:to>
      <xdr:col>3</xdr:col>
      <xdr:colOff>248771</xdr:colOff>
      <xdr:row>14</xdr:row>
      <xdr:rowOff>58271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DC97779-0851-82B9-0DAC-AECA98326CB9}"/>
            </a:ext>
          </a:extLst>
        </xdr:cNvPr>
        <xdr:cNvSpPr/>
      </xdr:nvSpPr>
      <xdr:spPr>
        <a:xfrm>
          <a:off x="293594" y="1783977"/>
          <a:ext cx="1400736" cy="941294"/>
        </a:xfrm>
        <a:prstGeom prst="roundRect">
          <a:avLst/>
        </a:prstGeom>
        <a:solidFill>
          <a:srgbClr val="705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Revenue</a:t>
          </a:r>
          <a:endParaRPr lang="en-IN" sz="1600" b="1">
            <a:effectLst/>
          </a:endParaRPr>
        </a:p>
        <a:p>
          <a:pPr algn="ctr"/>
          <a:r>
            <a:rPr lang="en-IN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23771480</a:t>
          </a:r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600">
            <a:effectLst/>
          </a:endParaRPr>
        </a:p>
      </xdr:txBody>
    </xdr:sp>
    <xdr:clientData/>
  </xdr:twoCellAnchor>
  <xdr:twoCellAnchor>
    <xdr:from>
      <xdr:col>1</xdr:col>
      <xdr:colOff>60629</xdr:colOff>
      <xdr:row>20</xdr:row>
      <xdr:rowOff>24653</xdr:rowOff>
    </xdr:from>
    <xdr:to>
      <xdr:col>3</xdr:col>
      <xdr:colOff>251130</xdr:colOff>
      <xdr:row>25</xdr:row>
      <xdr:rowOff>13447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70E0489-3CF8-D20C-CB6E-43CAB827A3D8}"/>
            </a:ext>
          </a:extLst>
        </xdr:cNvPr>
        <xdr:cNvSpPr/>
      </xdr:nvSpPr>
      <xdr:spPr>
        <a:xfrm>
          <a:off x="301261" y="3834653"/>
          <a:ext cx="1413711" cy="941294"/>
        </a:xfrm>
        <a:prstGeom prst="roundRect">
          <a:avLst/>
        </a:prstGeom>
        <a:solidFill>
          <a:srgbClr val="705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Best Shift by Revenue</a:t>
          </a:r>
          <a:endParaRPr lang="en-IN" sz="1600" b="1">
            <a:effectLst/>
          </a:endParaRPr>
        </a:p>
        <a:p>
          <a:pPr algn="ctr"/>
          <a:r>
            <a:rPr lang="en-IN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Evening</a:t>
          </a:r>
          <a:endParaRPr lang="en-IN" sz="1600">
            <a:effectLst/>
          </a:endParaRPr>
        </a:p>
      </xdr:txBody>
    </xdr:sp>
    <xdr:clientData/>
  </xdr:twoCellAnchor>
  <xdr:twoCellAnchor>
    <xdr:from>
      <xdr:col>1</xdr:col>
      <xdr:colOff>61160</xdr:colOff>
      <xdr:row>25</xdr:row>
      <xdr:rowOff>98612</xdr:rowOff>
    </xdr:from>
    <xdr:to>
      <xdr:col>3</xdr:col>
      <xdr:colOff>251661</xdr:colOff>
      <xdr:row>30</xdr:row>
      <xdr:rowOff>87406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DE3CF51-F4EB-03D4-1A84-CAD655CFE24F}"/>
            </a:ext>
          </a:extLst>
        </xdr:cNvPr>
        <xdr:cNvSpPr/>
      </xdr:nvSpPr>
      <xdr:spPr>
        <a:xfrm>
          <a:off x="301792" y="4861112"/>
          <a:ext cx="1413711" cy="941294"/>
        </a:xfrm>
        <a:prstGeom prst="roundRect">
          <a:avLst/>
        </a:prstGeom>
        <a:solidFill>
          <a:srgbClr val="705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Covers</a:t>
          </a:r>
          <a:endParaRPr lang="en-IN" sz="1600" b="1">
            <a:effectLst/>
          </a:endParaRPr>
        </a:p>
        <a:p>
          <a:pPr algn="ctr"/>
          <a:r>
            <a:rPr lang="en-IN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74038</a:t>
          </a:r>
          <a:endParaRPr lang="en-IN" sz="1600">
            <a:effectLst/>
          </a:endParaRPr>
        </a:p>
      </xdr:txBody>
    </xdr:sp>
    <xdr:clientData/>
  </xdr:twoCellAnchor>
  <xdr:twoCellAnchor>
    <xdr:from>
      <xdr:col>1</xdr:col>
      <xdr:colOff>61397</xdr:colOff>
      <xdr:row>30</xdr:row>
      <xdr:rowOff>180889</xdr:rowOff>
    </xdr:from>
    <xdr:to>
      <xdr:col>3</xdr:col>
      <xdr:colOff>251898</xdr:colOff>
      <xdr:row>35</xdr:row>
      <xdr:rowOff>169683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483A509-93EC-B6C2-4497-5D1B629BB617}"/>
            </a:ext>
          </a:extLst>
        </xdr:cNvPr>
        <xdr:cNvSpPr/>
      </xdr:nvSpPr>
      <xdr:spPr>
        <a:xfrm>
          <a:off x="302029" y="5895889"/>
          <a:ext cx="1413711" cy="941294"/>
        </a:xfrm>
        <a:prstGeom prst="roundRect">
          <a:avLst/>
        </a:prstGeom>
        <a:solidFill>
          <a:srgbClr val="705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Avg.</a:t>
          </a:r>
          <a:r>
            <a:rPr lang="en-IN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Guest Rating</a:t>
          </a:r>
          <a:endParaRPr lang="en-IN" sz="1600" b="1">
            <a:effectLst/>
          </a:endParaRPr>
        </a:p>
        <a:p>
          <a:pPr algn="ctr"/>
          <a:r>
            <a:rPr lang="en-IN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4.13</a:t>
          </a:r>
          <a:endParaRPr lang="en-IN" sz="1600">
            <a:effectLst/>
          </a:endParaRPr>
        </a:p>
      </xdr:txBody>
    </xdr:sp>
    <xdr:clientData/>
  </xdr:twoCellAnchor>
  <xdr:twoCellAnchor>
    <xdr:from>
      <xdr:col>4</xdr:col>
      <xdr:colOff>104773</xdr:colOff>
      <xdr:row>4</xdr:row>
      <xdr:rowOff>9523</xdr:rowOff>
    </xdr:from>
    <xdr:to>
      <xdr:col>11</xdr:col>
      <xdr:colOff>408214</xdr:colOff>
      <xdr:row>19</xdr:row>
      <xdr:rowOff>136070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E66DC74-FE3C-4D52-AFD2-D0BF5978D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572364</xdr:colOff>
      <xdr:row>4</xdr:row>
      <xdr:rowOff>17318</xdr:rowOff>
    </xdr:from>
    <xdr:to>
      <xdr:col>19</xdr:col>
      <xdr:colOff>449036</xdr:colOff>
      <xdr:row>19</xdr:row>
      <xdr:rowOff>27214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03F7F6A-D280-4C21-8CB5-CC784C6C2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17320</xdr:colOff>
      <xdr:row>3</xdr:row>
      <xdr:rowOff>173182</xdr:rowOff>
    </xdr:from>
    <xdr:to>
      <xdr:col>28</xdr:col>
      <xdr:colOff>504585</xdr:colOff>
      <xdr:row>19</xdr:row>
      <xdr:rowOff>-1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46B50D41-57E7-4F4A-9952-D907EB15B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48235</xdr:colOff>
      <xdr:row>21</xdr:row>
      <xdr:rowOff>29898</xdr:rowOff>
    </xdr:from>
    <xdr:to>
      <xdr:col>12</xdr:col>
      <xdr:colOff>34636</xdr:colOff>
      <xdr:row>35</xdr:row>
      <xdr:rowOff>106098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D79A5EB-E39C-4B3E-9E6C-6847DBB2B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225135</xdr:colOff>
      <xdr:row>21</xdr:row>
      <xdr:rowOff>47218</xdr:rowOff>
    </xdr:from>
    <xdr:to>
      <xdr:col>20</xdr:col>
      <xdr:colOff>398318</xdr:colOff>
      <xdr:row>35</xdr:row>
      <xdr:rowOff>123418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7AB0F1B-4865-4152-87FF-8C2BD71F4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116488</xdr:colOff>
      <xdr:row>20</xdr:row>
      <xdr:rowOff>180669</xdr:rowOff>
    </xdr:from>
    <xdr:to>
      <xdr:col>28</xdr:col>
      <xdr:colOff>452666</xdr:colOff>
      <xdr:row>35</xdr:row>
      <xdr:rowOff>66369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2B76B89-13AD-4A35-827C-1538E4E7D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6.558407870369" createdVersion="8" refreshedVersion="8" minRefreshableVersion="3" recordCount="1098" xr:uid="{611B513A-1303-4AB2-8EA4-4ECA186F15BC}">
  <cacheSource type="worksheet">
    <worksheetSource ref="A1:N1099" sheet="Daily Operations"/>
  </cacheSource>
  <cacheFields count="14">
    <cacheField name="Date" numFmtId="0">
      <sharedItems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y_of_Week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Shift" numFmtId="0">
      <sharedItems count="3">
        <s v="Morning"/>
        <s v="Evening"/>
        <s v="Night"/>
      </sharedItems>
    </cacheField>
    <cacheField name="Covers" numFmtId="0">
      <sharedItems containsSemiMixedTypes="0" containsString="0" containsNumber="1" containsInteger="1" minValue="12" maxValue="239"/>
    </cacheField>
    <cacheField name="Revenue" numFmtId="0">
      <sharedItems containsSemiMixedTypes="0" containsString="0" containsNumber="1" containsInteger="1" minValue="2522" maxValue="101050"/>
    </cacheField>
    <cacheField name="Food_Cost" numFmtId="0">
      <sharedItems containsSemiMixedTypes="0" containsString="0" containsNumber="1" containsInteger="1" minValue="905" maxValue="41240"/>
    </cacheField>
    <cacheField name="Staff_Count" numFmtId="0">
      <sharedItems containsSemiMixedTypes="0" containsString="0" containsNumber="1" containsInteger="1" minValue="3" maxValue="10" count="8">
        <n v="3"/>
        <n v="10"/>
        <n v="7"/>
        <n v="4"/>
        <n v="6"/>
        <n v="5"/>
        <n v="9"/>
        <n v="8"/>
      </sharedItems>
    </cacheField>
    <cacheField name="Avg_Table_Time_Min" numFmtId="0">
      <sharedItems containsSemiMixedTypes="0" containsString="0" containsNumber="1" containsInteger="1" minValue="35" maxValue="75"/>
    </cacheField>
    <cacheField name="Complaints" numFmtId="0">
      <sharedItems containsSemiMixedTypes="0" containsString="0" containsNumber="1" containsInteger="1" minValue="0" maxValue="4"/>
    </cacheField>
    <cacheField name="Guest_Rating" numFmtId="0">
      <sharedItems containsSemiMixedTypes="0" containsString="0" containsNumber="1" minValue="3.5" maxValue="4.8"/>
    </cacheField>
    <cacheField name="Food_Cost_%" numFmtId="164">
      <sharedItems containsSemiMixedTypes="0" containsString="0" containsNumber="1" minValue="0.28009883198562446" maxValue="0.4199404761904762"/>
    </cacheField>
    <cacheField name="Revenue_Per_Cover" numFmtId="165">
      <sharedItems containsSemiMixedTypes="0" containsString="0" containsNumber="1" containsInteger="1" minValue="180" maxValue="480"/>
    </cacheField>
    <cacheField name="Staff_Efficiency" numFmtId="0">
      <sharedItems containsSemiMixedTypes="0" containsString="0" containsNumber="1" minValue="2.6" maxValue="39.8333333333333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7.142878125" backgroundQuery="1" createdVersion="8" refreshedVersion="8" minRefreshableVersion="3" recordCount="0" supportSubquery="1" supportAdvancedDrill="1" xr:uid="{B78ECC7B-EADC-4DD6-85AD-93C9A2791147}">
  <cacheSource type="external" connectionId="1"/>
  <cacheFields count="1">
    <cacheField name="[Measures].[Count of Name]" caption="Count of Name" numFmtId="0" hierarchy="13" level="32767"/>
  </cacheFields>
  <cacheHierarchies count="15">
    <cacheHierarchy uniqueName="[Range].[Staff_ID]" caption="Staff_ID" attribute="1" defaultMemberUniqueName="[Range].[Staff_ID].[All]" allUniqueName="[Range].[Staff_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Role]" caption="Role" attribute="1" defaultMemberUniqueName="[Range].[Role].[All]" allUniqueName="[Range].[Role].[All]" dimensionUniqueName="[Range]" displayFolder="" count="0" memberValueDatatype="130" unbalanced="0"/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Total_Covers_Handled]" caption="Total_Covers_Handled" attribute="1" defaultMemberUniqueName="[Range].[Total_Covers_Handled].[All]" allUniqueName="[Range].[Total_Covers_Handled].[All]" dimensionUniqueName="[Range]" displayFolder="" count="0" memberValueDatatype="20" unbalanced="0"/>
    <cacheHierarchy uniqueName="[Range].[Avg_Upsell_Per_Shift]" caption="Avg_Upsell_Per_Shift" attribute="1" defaultMemberUniqueName="[Range].[Avg_Upsell_Per_Shift].[All]" allUniqueName="[Range].[Avg_Upsell_Per_Shift].[All]" dimensionUniqueName="[Range]" displayFolder="" count="0" memberValueDatatype="20" unbalanced="0"/>
    <cacheHierarchy uniqueName="[Range].[Punctuality_%]" caption="Punctuality_%" attribute="1" defaultMemberUniqueName="[Range].[Punctuality_%].[All]" allUniqueName="[Range].[Punctuality_%].[All]" dimensionUniqueName="[Range]" displayFolder="" count="0" memberValueDatatype="5" unbalanced="0"/>
    <cacheHierarchy uniqueName="[Range].[Avg_Guest_Rating]" caption="Avg_Guest_Rating" attribute="1" defaultMemberUniqueName="[Range].[Avg_Guest_Rating].[All]" allUniqueName="[Range].[Avg_Guest_Rating].[All]" dimensionUniqueName="[Range]" displayFolder="" count="0" memberValueDatatype="5" unbalanced="0"/>
    <cacheHierarchy uniqueName="[Range].[Complaints_Against]" caption="Complaints_Against" attribute="1" defaultMemberUniqueName="[Range].[Complaints_Against].[All]" allUniqueName="[Range].[Complaints_Against].[All]" dimensionUniqueName="[Range]" displayFolder="" count="0" memberValueDatatype="20" unbalanced="0"/>
    <cacheHierarchy uniqueName="[Range].[Months_Experience]" caption="Months_Experience" attribute="1" defaultMemberUniqueName="[Range].[Months_Experience].[All]" allUniqueName="[Range].[Months_Experience].[All]" dimensionUniqueName="[Range]" displayFolder="" count="0" memberValueDatatype="2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Name]" caption="Count of Nam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erformance_Score]" caption="Sum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7.281733680553" backgroundQuery="1" createdVersion="8" refreshedVersion="8" minRefreshableVersion="3" recordCount="0" supportSubquery="1" supportAdvancedDrill="1" xr:uid="{F214428E-09C8-4950-85CF-524F3B2B5A9B}">
  <cacheSource type="external" connectionId="1"/>
  <cacheFields count="2">
    <cacheField name="[Range].[Name].[Name]" caption="Name" numFmtId="0" hierarchy="1" level="1">
      <sharedItems count="15">
        <s v="Amit Yadav"/>
        <s v="Anita Bose"/>
        <s v="Kavita Singh"/>
        <s v="Manish Roy"/>
        <s v="Meena Tiwari"/>
        <s v="Mohit Kumar"/>
        <s v="Neha Jain"/>
        <s v="Priya Verma"/>
        <s v="Rahul Sharma"/>
        <s v="Ravi Gupta"/>
        <s v="Rohit Mishra"/>
        <s v="Sanjay Das"/>
        <s v="Sunita Patel"/>
        <s v="Swati Agarwal"/>
        <s v="Vikram Nair"/>
      </sharedItems>
    </cacheField>
    <cacheField name="[Measures].[Sum of Performance_Score]" caption="Sum of Performance_Score" numFmtId="0" hierarchy="14" level="32767"/>
  </cacheFields>
  <cacheHierarchies count="15">
    <cacheHierarchy uniqueName="[Range].[Staff_ID]" caption="Staff_ID" attribute="1" defaultMemberUniqueName="[Range].[Staff_ID].[All]" allUniqueName="[Range].[Staff_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ole]" caption="Role" attribute="1" defaultMemberUniqueName="[Range].[Role].[All]" allUniqueName="[Range].[Role].[All]" dimensionUniqueName="[Range]" displayFolder="" count="0" memberValueDatatype="130" unbalanced="0"/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Total_Covers_Handled]" caption="Total_Covers_Handled" attribute="1" defaultMemberUniqueName="[Range].[Total_Covers_Handled].[All]" allUniqueName="[Range].[Total_Covers_Handled].[All]" dimensionUniqueName="[Range]" displayFolder="" count="0" memberValueDatatype="20" unbalanced="0"/>
    <cacheHierarchy uniqueName="[Range].[Avg_Upsell_Per_Shift]" caption="Avg_Upsell_Per_Shift" attribute="1" defaultMemberUniqueName="[Range].[Avg_Upsell_Per_Shift].[All]" allUniqueName="[Range].[Avg_Upsell_Per_Shift].[All]" dimensionUniqueName="[Range]" displayFolder="" count="0" memberValueDatatype="20" unbalanced="0"/>
    <cacheHierarchy uniqueName="[Range].[Punctuality_%]" caption="Punctuality_%" attribute="1" defaultMemberUniqueName="[Range].[Punctuality_%].[All]" allUniqueName="[Range].[Punctuality_%].[All]" dimensionUniqueName="[Range]" displayFolder="" count="0" memberValueDatatype="5" unbalanced="0"/>
    <cacheHierarchy uniqueName="[Range].[Avg_Guest_Rating]" caption="Avg_Guest_Rating" attribute="1" defaultMemberUniqueName="[Range].[Avg_Guest_Rating].[All]" allUniqueName="[Range].[Avg_Guest_Rating].[All]" dimensionUniqueName="[Range]" displayFolder="" count="0" memberValueDatatype="5" unbalanced="0"/>
    <cacheHierarchy uniqueName="[Range].[Complaints_Against]" caption="Complaints_Against" attribute="1" defaultMemberUniqueName="[Range].[Complaints_Against].[All]" allUniqueName="[Range].[Complaints_Against].[All]" dimensionUniqueName="[Range]" displayFolder="" count="0" memberValueDatatype="20" unbalanced="0"/>
    <cacheHierarchy uniqueName="[Range].[Months_Experience]" caption="Months_Experience" attribute="1" defaultMemberUniqueName="[Range].[Months_Experience].[All]" allUniqueName="[Range].[Months_Experience].[All]" dimensionUniqueName="[Range]" displayFolder="" count="0" memberValueDatatype="2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Name]" caption="Count of Nam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erformance_Score]" caption="Sum of Performance_Scor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">
  <r>
    <s v="2024-01-01"/>
    <x v="0"/>
    <x v="0"/>
    <x v="0"/>
    <n v="28"/>
    <n v="6188"/>
    <n v="1903"/>
    <x v="0"/>
    <n v="38"/>
    <n v="1"/>
    <n v="4.0999999999999996"/>
    <n v="0.30753070458952814"/>
    <n v="221"/>
    <n v="9.3333333333333339"/>
  </r>
  <r>
    <s v="2024-01-01"/>
    <x v="0"/>
    <x v="0"/>
    <x v="1"/>
    <n v="105"/>
    <n v="45780"/>
    <n v="14342"/>
    <x v="1"/>
    <n v="65"/>
    <n v="4"/>
    <n v="3.5"/>
    <n v="0.31328090869375275"/>
    <n v="436"/>
    <n v="10.5"/>
  </r>
  <r>
    <s v="2024-01-01"/>
    <x v="0"/>
    <x v="0"/>
    <x v="2"/>
    <n v="37"/>
    <n v="7659"/>
    <n v="3040"/>
    <x v="2"/>
    <n v="45"/>
    <n v="1"/>
    <n v="4.0999999999999996"/>
    <n v="0.39691865778822299"/>
    <n v="207"/>
    <n v="5.2857142857142856"/>
  </r>
  <r>
    <s v="2024-01-02"/>
    <x v="0"/>
    <x v="1"/>
    <x v="0"/>
    <n v="37"/>
    <n v="7511"/>
    <n v="2451"/>
    <x v="0"/>
    <n v="37"/>
    <n v="2"/>
    <n v="4.3"/>
    <n v="0.32632139528691251"/>
    <n v="203"/>
    <n v="12.333333333333334"/>
  </r>
  <r>
    <s v="2024-01-02"/>
    <x v="0"/>
    <x v="1"/>
    <x v="1"/>
    <n v="110"/>
    <n v="44000"/>
    <n v="13582"/>
    <x v="2"/>
    <n v="47"/>
    <n v="0"/>
    <n v="4.5999999999999996"/>
    <n v="0.30868181818181817"/>
    <n v="400"/>
    <n v="15.714285714285714"/>
  </r>
  <r>
    <s v="2024-01-02"/>
    <x v="0"/>
    <x v="1"/>
    <x v="2"/>
    <n v="63"/>
    <n v="21609"/>
    <n v="8776"/>
    <x v="3"/>
    <n v="43"/>
    <n v="1"/>
    <n v="4.3"/>
    <n v="0.40612707668101256"/>
    <n v="343"/>
    <n v="15.75"/>
  </r>
  <r>
    <s v="2024-01-03"/>
    <x v="0"/>
    <x v="2"/>
    <x v="0"/>
    <n v="23"/>
    <n v="4416"/>
    <n v="1593"/>
    <x v="0"/>
    <n v="52"/>
    <n v="0"/>
    <n v="4"/>
    <n v="0.36073369565217389"/>
    <n v="192"/>
    <n v="7.666666666666667"/>
  </r>
  <r>
    <s v="2024-01-03"/>
    <x v="0"/>
    <x v="2"/>
    <x v="1"/>
    <n v="128"/>
    <n v="61184"/>
    <n v="25009"/>
    <x v="4"/>
    <n v="56"/>
    <n v="4"/>
    <n v="3.6"/>
    <n v="0.40875065376569036"/>
    <n v="478"/>
    <n v="21.333333333333332"/>
  </r>
  <r>
    <s v="2024-01-03"/>
    <x v="0"/>
    <x v="2"/>
    <x v="2"/>
    <n v="72"/>
    <n v="21816"/>
    <n v="8402"/>
    <x v="5"/>
    <n v="47"/>
    <n v="3"/>
    <n v="4"/>
    <n v="0.38513017968463514"/>
    <n v="303"/>
    <n v="14.4"/>
  </r>
  <r>
    <s v="2024-01-04"/>
    <x v="0"/>
    <x v="3"/>
    <x v="0"/>
    <n v="27"/>
    <n v="7506"/>
    <n v="2946"/>
    <x v="0"/>
    <n v="36"/>
    <n v="0"/>
    <n v="4.0999999999999996"/>
    <n v="0.39248601119104715"/>
    <n v="278"/>
    <n v="9"/>
  </r>
  <r>
    <s v="2024-01-04"/>
    <x v="0"/>
    <x v="3"/>
    <x v="1"/>
    <n v="63"/>
    <n v="29610"/>
    <n v="9775"/>
    <x v="6"/>
    <n v="48"/>
    <n v="2"/>
    <n v="4.8"/>
    <n v="0.33012495778453227"/>
    <n v="470"/>
    <n v="7"/>
  </r>
  <r>
    <s v="2024-01-04"/>
    <x v="0"/>
    <x v="3"/>
    <x v="2"/>
    <n v="64"/>
    <n v="20800"/>
    <n v="5986"/>
    <x v="2"/>
    <n v="62"/>
    <n v="0"/>
    <n v="3.7"/>
    <n v="0.28778846153846155"/>
    <n v="325"/>
    <n v="9.1428571428571423"/>
  </r>
  <r>
    <s v="2024-01-05"/>
    <x v="0"/>
    <x v="4"/>
    <x v="0"/>
    <n v="73"/>
    <n v="13943"/>
    <n v="3937"/>
    <x v="3"/>
    <n v="46"/>
    <n v="1"/>
    <n v="4.2"/>
    <n v="0.28236391020583806"/>
    <n v="191"/>
    <n v="18.25"/>
  </r>
  <r>
    <s v="2024-01-05"/>
    <x v="0"/>
    <x v="4"/>
    <x v="1"/>
    <n v="92"/>
    <n v="37076"/>
    <n v="11141"/>
    <x v="4"/>
    <n v="67"/>
    <n v="0"/>
    <n v="3.8"/>
    <n v="0.30049088359046283"/>
    <n v="403"/>
    <n v="15.333333333333334"/>
  </r>
  <r>
    <s v="2024-01-05"/>
    <x v="0"/>
    <x v="4"/>
    <x v="2"/>
    <n v="99"/>
    <n v="31581"/>
    <n v="9344"/>
    <x v="2"/>
    <n v="55"/>
    <n v="0"/>
    <n v="4.5"/>
    <n v="0.29587410151673477"/>
    <n v="319"/>
    <n v="14.142857142857142"/>
  </r>
  <r>
    <s v="2024-01-06"/>
    <x v="0"/>
    <x v="5"/>
    <x v="0"/>
    <n v="45"/>
    <n v="9450"/>
    <n v="2992"/>
    <x v="0"/>
    <n v="40"/>
    <n v="0"/>
    <n v="3.9"/>
    <n v="0.31661375661375663"/>
    <n v="210"/>
    <n v="15"/>
  </r>
  <r>
    <s v="2024-01-06"/>
    <x v="0"/>
    <x v="5"/>
    <x v="1"/>
    <n v="106"/>
    <n v="35934"/>
    <n v="13434"/>
    <x v="6"/>
    <n v="75"/>
    <n v="4"/>
    <n v="4.4000000000000004"/>
    <n v="0.37385206211387545"/>
    <n v="339"/>
    <n v="11.777777777777779"/>
  </r>
  <r>
    <s v="2024-01-06"/>
    <x v="0"/>
    <x v="5"/>
    <x v="2"/>
    <n v="109"/>
    <n v="33354"/>
    <n v="11624"/>
    <x v="4"/>
    <n v="59"/>
    <n v="0"/>
    <n v="4.0999999999999996"/>
    <n v="0.34850392756490978"/>
    <n v="306"/>
    <n v="18.166666666666668"/>
  </r>
  <r>
    <s v="2024-01-07"/>
    <x v="0"/>
    <x v="6"/>
    <x v="0"/>
    <n v="68"/>
    <n v="14756"/>
    <n v="5249"/>
    <x v="3"/>
    <n v="49"/>
    <n v="0"/>
    <n v="3.8"/>
    <n v="0.35571970723773383"/>
    <n v="217"/>
    <n v="17"/>
  </r>
  <r>
    <s v="2024-01-07"/>
    <x v="0"/>
    <x v="6"/>
    <x v="1"/>
    <n v="182"/>
    <n v="54236"/>
    <n v="15456"/>
    <x v="2"/>
    <n v="45"/>
    <n v="0"/>
    <n v="4.4000000000000004"/>
    <n v="0.28497676819824469"/>
    <n v="298"/>
    <n v="26"/>
  </r>
  <r>
    <s v="2024-01-07"/>
    <x v="0"/>
    <x v="6"/>
    <x v="2"/>
    <n v="53"/>
    <n v="17490"/>
    <n v="5396"/>
    <x v="3"/>
    <n v="64"/>
    <n v="3"/>
    <n v="3.8"/>
    <n v="0.30851915380217265"/>
    <n v="330"/>
    <n v="13.25"/>
  </r>
  <r>
    <s v="2024-01-08"/>
    <x v="0"/>
    <x v="0"/>
    <x v="0"/>
    <n v="35"/>
    <n v="7560"/>
    <n v="2603"/>
    <x v="3"/>
    <n v="52"/>
    <n v="2"/>
    <n v="4.4000000000000004"/>
    <n v="0.34431216931216929"/>
    <n v="216"/>
    <n v="8.75"/>
  </r>
  <r>
    <s v="2024-01-08"/>
    <x v="0"/>
    <x v="0"/>
    <x v="1"/>
    <n v="89"/>
    <n v="29281"/>
    <n v="11794"/>
    <x v="6"/>
    <n v="72"/>
    <n v="2"/>
    <n v="3.9"/>
    <n v="0.40278679006864521"/>
    <n v="329"/>
    <n v="9.8888888888888893"/>
  </r>
  <r>
    <s v="2024-01-08"/>
    <x v="0"/>
    <x v="0"/>
    <x v="2"/>
    <n v="28"/>
    <n v="9352"/>
    <n v="3042"/>
    <x v="5"/>
    <n v="64"/>
    <n v="2"/>
    <n v="4.5999999999999996"/>
    <n v="0.3252780153977759"/>
    <n v="334"/>
    <n v="5.6"/>
  </r>
  <r>
    <s v="2024-01-09"/>
    <x v="0"/>
    <x v="1"/>
    <x v="0"/>
    <n v="43"/>
    <n v="11825"/>
    <n v="4581"/>
    <x v="5"/>
    <n v="51"/>
    <n v="1"/>
    <n v="4.2"/>
    <n v="0.387399577167019"/>
    <n v="275"/>
    <n v="8.6"/>
  </r>
  <r>
    <s v="2024-01-09"/>
    <x v="0"/>
    <x v="1"/>
    <x v="1"/>
    <n v="95"/>
    <n v="32775"/>
    <n v="10913"/>
    <x v="1"/>
    <n v="71"/>
    <n v="2"/>
    <n v="4.7"/>
    <n v="0.33296720061022123"/>
    <n v="345"/>
    <n v="9.5"/>
  </r>
  <r>
    <s v="2024-01-09"/>
    <x v="0"/>
    <x v="1"/>
    <x v="2"/>
    <n v="40"/>
    <n v="9040"/>
    <n v="2714"/>
    <x v="4"/>
    <n v="65"/>
    <n v="0"/>
    <n v="3.8"/>
    <n v="0.30022123893805308"/>
    <n v="226"/>
    <n v="6.666666666666667"/>
  </r>
  <r>
    <s v="2024-01-10"/>
    <x v="0"/>
    <x v="2"/>
    <x v="0"/>
    <n v="52"/>
    <n v="13468"/>
    <n v="4828"/>
    <x v="5"/>
    <n v="53"/>
    <n v="0"/>
    <n v="4.2"/>
    <n v="0.35847935847935847"/>
    <n v="259"/>
    <n v="10.4"/>
  </r>
  <r>
    <s v="2024-01-10"/>
    <x v="0"/>
    <x v="2"/>
    <x v="1"/>
    <n v="124"/>
    <n v="38440"/>
    <n v="14204"/>
    <x v="2"/>
    <n v="53"/>
    <n v="1"/>
    <n v="4.3"/>
    <n v="0.3695109261186264"/>
    <n v="310"/>
    <n v="17.714285714285715"/>
  </r>
  <r>
    <s v="2024-01-10"/>
    <x v="0"/>
    <x v="2"/>
    <x v="2"/>
    <n v="46"/>
    <n v="9890"/>
    <n v="3707"/>
    <x v="2"/>
    <n v="42"/>
    <n v="2"/>
    <n v="3.7"/>
    <n v="0.37482305358948431"/>
    <n v="215"/>
    <n v="6.5714285714285712"/>
  </r>
  <r>
    <s v="2024-01-11"/>
    <x v="0"/>
    <x v="3"/>
    <x v="0"/>
    <n v="47"/>
    <n v="12314"/>
    <n v="4517"/>
    <x v="0"/>
    <n v="36"/>
    <n v="1"/>
    <n v="4.3"/>
    <n v="0.36681825564398246"/>
    <n v="262"/>
    <n v="15.666666666666666"/>
  </r>
  <r>
    <s v="2024-01-11"/>
    <x v="0"/>
    <x v="3"/>
    <x v="1"/>
    <n v="77"/>
    <n v="31262"/>
    <n v="10524"/>
    <x v="1"/>
    <n v="72"/>
    <n v="0"/>
    <n v="4.0999999999999996"/>
    <n v="0.33663873072740069"/>
    <n v="406"/>
    <n v="7.7"/>
  </r>
  <r>
    <s v="2024-01-11"/>
    <x v="0"/>
    <x v="3"/>
    <x v="2"/>
    <n v="36"/>
    <n v="7488"/>
    <n v="2490"/>
    <x v="5"/>
    <n v="41"/>
    <n v="2"/>
    <n v="4.4000000000000004"/>
    <n v="0.33253205128205127"/>
    <n v="208"/>
    <n v="7.2"/>
  </r>
  <r>
    <s v="2024-01-12"/>
    <x v="0"/>
    <x v="4"/>
    <x v="0"/>
    <n v="49"/>
    <n v="12789"/>
    <n v="5203"/>
    <x v="0"/>
    <n v="52"/>
    <n v="2"/>
    <n v="3.9"/>
    <n v="0.40683399796700287"/>
    <n v="261"/>
    <n v="16.333333333333332"/>
  </r>
  <r>
    <s v="2024-01-12"/>
    <x v="0"/>
    <x v="4"/>
    <x v="1"/>
    <n v="89"/>
    <n v="37380"/>
    <n v="15694"/>
    <x v="6"/>
    <n v="61"/>
    <n v="0"/>
    <n v="3.7"/>
    <n v="0.41985018726591761"/>
    <n v="420"/>
    <n v="9.8888888888888893"/>
  </r>
  <r>
    <s v="2024-01-12"/>
    <x v="0"/>
    <x v="4"/>
    <x v="2"/>
    <n v="82"/>
    <n v="20664"/>
    <n v="7352"/>
    <x v="4"/>
    <n v="50"/>
    <n v="3"/>
    <n v="3.8"/>
    <n v="0.35578784359272164"/>
    <n v="252"/>
    <n v="13.666666666666666"/>
  </r>
  <r>
    <s v="2024-01-13"/>
    <x v="0"/>
    <x v="5"/>
    <x v="0"/>
    <n v="82"/>
    <n v="20746"/>
    <n v="7075"/>
    <x v="5"/>
    <n v="47"/>
    <n v="2"/>
    <n v="4.3"/>
    <n v="0.34102959606671168"/>
    <n v="253"/>
    <n v="16.399999999999999"/>
  </r>
  <r>
    <s v="2024-01-13"/>
    <x v="0"/>
    <x v="5"/>
    <x v="1"/>
    <n v="210"/>
    <n v="100800"/>
    <n v="30984"/>
    <x v="4"/>
    <n v="51"/>
    <n v="4"/>
    <n v="4.4000000000000004"/>
    <n v="0.30738095238095237"/>
    <n v="480"/>
    <n v="35"/>
  </r>
  <r>
    <s v="2024-01-13"/>
    <x v="0"/>
    <x v="5"/>
    <x v="2"/>
    <n v="114"/>
    <n v="31692"/>
    <n v="11728"/>
    <x v="4"/>
    <n v="50"/>
    <n v="3"/>
    <n v="3.8"/>
    <n v="0.37006184526063357"/>
    <n v="278"/>
    <n v="19"/>
  </r>
  <r>
    <s v="2024-01-14"/>
    <x v="0"/>
    <x v="6"/>
    <x v="0"/>
    <n v="77"/>
    <n v="17325"/>
    <n v="6754"/>
    <x v="0"/>
    <n v="43"/>
    <n v="1"/>
    <n v="4.4000000000000004"/>
    <n v="0.38984126984126982"/>
    <n v="225"/>
    <n v="25.666666666666668"/>
  </r>
  <r>
    <s v="2024-01-14"/>
    <x v="0"/>
    <x v="6"/>
    <x v="1"/>
    <n v="119"/>
    <n v="43792"/>
    <n v="16370"/>
    <x v="7"/>
    <n v="61"/>
    <n v="3"/>
    <n v="3.9"/>
    <n v="0.37381256850566313"/>
    <n v="368"/>
    <n v="14.875"/>
  </r>
  <r>
    <s v="2024-01-14"/>
    <x v="0"/>
    <x v="6"/>
    <x v="2"/>
    <n v="91"/>
    <n v="23751"/>
    <n v="8964"/>
    <x v="3"/>
    <n v="55"/>
    <n v="0"/>
    <n v="3.9"/>
    <n v="0.37741568776051537"/>
    <n v="261"/>
    <n v="22.75"/>
  </r>
  <r>
    <s v="2024-01-15"/>
    <x v="0"/>
    <x v="0"/>
    <x v="0"/>
    <n v="24"/>
    <n v="4344"/>
    <n v="1769"/>
    <x v="5"/>
    <n v="48"/>
    <n v="1"/>
    <n v="4.2"/>
    <n v="0.4072283609576427"/>
    <n v="181"/>
    <n v="4.8"/>
  </r>
  <r>
    <s v="2024-01-15"/>
    <x v="0"/>
    <x v="0"/>
    <x v="1"/>
    <n v="111"/>
    <n v="43068"/>
    <n v="16226"/>
    <x v="4"/>
    <n v="66"/>
    <n v="3"/>
    <n v="4.5"/>
    <n v="0.37675304170149532"/>
    <n v="388"/>
    <n v="18.5"/>
  </r>
  <r>
    <s v="2024-01-15"/>
    <x v="0"/>
    <x v="0"/>
    <x v="2"/>
    <n v="51"/>
    <n v="14841"/>
    <n v="5137"/>
    <x v="2"/>
    <n v="45"/>
    <n v="3"/>
    <n v="4"/>
    <n v="0.34613570514116299"/>
    <n v="291"/>
    <n v="7.2857142857142856"/>
  </r>
  <r>
    <s v="2024-01-16"/>
    <x v="0"/>
    <x v="1"/>
    <x v="0"/>
    <n v="47"/>
    <n v="10998"/>
    <n v="4021"/>
    <x v="3"/>
    <n v="35"/>
    <n v="2"/>
    <n v="4"/>
    <n v="0.36561192944171667"/>
    <n v="234"/>
    <n v="11.75"/>
  </r>
  <r>
    <s v="2024-01-16"/>
    <x v="0"/>
    <x v="1"/>
    <x v="1"/>
    <n v="82"/>
    <n v="32144"/>
    <n v="11300"/>
    <x v="6"/>
    <n v="66"/>
    <n v="4"/>
    <n v="3.5"/>
    <n v="0.35154305624688897"/>
    <n v="392"/>
    <n v="9.1111111111111107"/>
  </r>
  <r>
    <s v="2024-01-16"/>
    <x v="0"/>
    <x v="1"/>
    <x v="2"/>
    <n v="29"/>
    <n v="8671"/>
    <n v="2829"/>
    <x v="4"/>
    <n v="61"/>
    <n v="2"/>
    <n v="4.2"/>
    <n v="0.32625994694960214"/>
    <n v="299"/>
    <n v="4.833333333333333"/>
  </r>
  <r>
    <s v="2024-01-17"/>
    <x v="0"/>
    <x v="2"/>
    <x v="0"/>
    <n v="24"/>
    <n v="5376"/>
    <n v="1773"/>
    <x v="0"/>
    <n v="49"/>
    <n v="2"/>
    <n v="4.4000000000000004"/>
    <n v="0.32979910714285715"/>
    <n v="224"/>
    <n v="8"/>
  </r>
  <r>
    <s v="2024-01-17"/>
    <x v="0"/>
    <x v="2"/>
    <x v="1"/>
    <n v="74"/>
    <n v="21608"/>
    <n v="7541"/>
    <x v="7"/>
    <n v="55"/>
    <n v="2"/>
    <n v="4.7"/>
    <n v="0.34899111440207331"/>
    <n v="292"/>
    <n v="9.25"/>
  </r>
  <r>
    <s v="2024-01-17"/>
    <x v="0"/>
    <x v="2"/>
    <x v="2"/>
    <n v="66"/>
    <n v="17490"/>
    <n v="6789"/>
    <x v="5"/>
    <n v="45"/>
    <n v="2"/>
    <n v="4"/>
    <n v="0.38816466552315609"/>
    <n v="265"/>
    <n v="13.2"/>
  </r>
  <r>
    <s v="2024-01-18"/>
    <x v="0"/>
    <x v="3"/>
    <x v="0"/>
    <n v="20"/>
    <n v="4800"/>
    <n v="1739"/>
    <x v="5"/>
    <n v="55"/>
    <n v="1"/>
    <n v="4"/>
    <n v="0.36229166666666668"/>
    <n v="240"/>
    <n v="4"/>
  </r>
  <r>
    <s v="2024-01-18"/>
    <x v="0"/>
    <x v="3"/>
    <x v="1"/>
    <n v="137"/>
    <n v="58910"/>
    <n v="16788"/>
    <x v="6"/>
    <n v="48"/>
    <n v="4"/>
    <n v="4.8"/>
    <n v="0.28497708368698016"/>
    <n v="430"/>
    <n v="15.222222222222221"/>
  </r>
  <r>
    <s v="2024-01-18"/>
    <x v="0"/>
    <x v="3"/>
    <x v="2"/>
    <n v="30"/>
    <n v="6690"/>
    <n v="1901"/>
    <x v="4"/>
    <n v="55"/>
    <n v="3"/>
    <n v="3.9"/>
    <n v="0.28415545590433483"/>
    <n v="223"/>
    <n v="5"/>
  </r>
  <r>
    <s v="2024-01-19"/>
    <x v="0"/>
    <x v="4"/>
    <x v="0"/>
    <n v="74"/>
    <n v="13986"/>
    <n v="5621"/>
    <x v="5"/>
    <n v="46"/>
    <n v="2"/>
    <n v="4"/>
    <n v="0.40190190190190189"/>
    <n v="189"/>
    <n v="14.8"/>
  </r>
  <r>
    <s v="2024-01-19"/>
    <x v="0"/>
    <x v="4"/>
    <x v="1"/>
    <n v="205"/>
    <n v="59040"/>
    <n v="22009"/>
    <x v="1"/>
    <n v="75"/>
    <n v="1"/>
    <n v="3.7"/>
    <n v="0.37278116531165312"/>
    <n v="288"/>
    <n v="20.5"/>
  </r>
  <r>
    <s v="2024-01-19"/>
    <x v="0"/>
    <x v="4"/>
    <x v="2"/>
    <n v="89"/>
    <n v="22606"/>
    <n v="7207"/>
    <x v="4"/>
    <n v="41"/>
    <n v="0"/>
    <n v="4.0999999999999996"/>
    <n v="0.31880916570821904"/>
    <n v="254"/>
    <n v="14.833333333333334"/>
  </r>
  <r>
    <s v="2024-01-20"/>
    <x v="0"/>
    <x v="5"/>
    <x v="0"/>
    <n v="69"/>
    <n v="18009"/>
    <n v="6177"/>
    <x v="5"/>
    <n v="50"/>
    <n v="0"/>
    <n v="3.9"/>
    <n v="0.34299516908212563"/>
    <n v="261"/>
    <n v="13.8"/>
  </r>
  <r>
    <s v="2024-01-20"/>
    <x v="0"/>
    <x v="5"/>
    <x v="1"/>
    <n v="194"/>
    <n v="76436"/>
    <n v="29237"/>
    <x v="6"/>
    <n v="63"/>
    <n v="3"/>
    <n v="3.6"/>
    <n v="0.38250300905332568"/>
    <n v="394"/>
    <n v="21.555555555555557"/>
  </r>
  <r>
    <s v="2024-01-20"/>
    <x v="0"/>
    <x v="5"/>
    <x v="2"/>
    <n v="64"/>
    <n v="14784"/>
    <n v="5462"/>
    <x v="5"/>
    <n v="49"/>
    <n v="2"/>
    <n v="4.3"/>
    <n v="0.36945346320346323"/>
    <n v="231"/>
    <n v="12.8"/>
  </r>
  <r>
    <s v="2024-01-21"/>
    <x v="0"/>
    <x v="6"/>
    <x v="0"/>
    <n v="61"/>
    <n v="14701"/>
    <n v="4868"/>
    <x v="3"/>
    <n v="42"/>
    <n v="0"/>
    <n v="3.8"/>
    <n v="0.33113393646690703"/>
    <n v="241"/>
    <n v="15.25"/>
  </r>
  <r>
    <s v="2024-01-21"/>
    <x v="0"/>
    <x v="6"/>
    <x v="1"/>
    <n v="195"/>
    <n v="66885"/>
    <n v="25970"/>
    <x v="1"/>
    <n v="71"/>
    <n v="0"/>
    <n v="4.0999999999999996"/>
    <n v="0.38827838827838829"/>
    <n v="343"/>
    <n v="19.5"/>
  </r>
  <r>
    <s v="2024-01-21"/>
    <x v="0"/>
    <x v="6"/>
    <x v="2"/>
    <n v="52"/>
    <n v="13104"/>
    <n v="5008"/>
    <x v="2"/>
    <n v="47"/>
    <n v="3"/>
    <n v="4.3"/>
    <n v="0.38217338217338215"/>
    <n v="252"/>
    <n v="7.4285714285714288"/>
  </r>
  <r>
    <s v="2024-01-22"/>
    <x v="0"/>
    <x v="0"/>
    <x v="0"/>
    <n v="28"/>
    <n v="6132"/>
    <n v="2001"/>
    <x v="0"/>
    <n v="55"/>
    <n v="1"/>
    <n v="4.0999999999999996"/>
    <n v="0.32632093933463796"/>
    <n v="219"/>
    <n v="9.3333333333333339"/>
  </r>
  <r>
    <s v="2024-01-22"/>
    <x v="0"/>
    <x v="0"/>
    <x v="1"/>
    <n v="107"/>
    <n v="43549"/>
    <n v="13295"/>
    <x v="6"/>
    <n v="60"/>
    <n v="3"/>
    <n v="3.7"/>
    <n v="0.30528829594250156"/>
    <n v="407"/>
    <n v="11.888888888888889"/>
  </r>
  <r>
    <s v="2024-01-22"/>
    <x v="0"/>
    <x v="0"/>
    <x v="2"/>
    <n v="24"/>
    <n v="5016"/>
    <n v="1439"/>
    <x v="3"/>
    <n v="51"/>
    <n v="3"/>
    <n v="3.9"/>
    <n v="0.28688197767145135"/>
    <n v="209"/>
    <n v="6"/>
  </r>
  <r>
    <s v="2024-01-23"/>
    <x v="0"/>
    <x v="1"/>
    <x v="0"/>
    <n v="42"/>
    <n v="10290"/>
    <n v="3012"/>
    <x v="3"/>
    <n v="48"/>
    <n v="2"/>
    <n v="3.9"/>
    <n v="0.29271137026239069"/>
    <n v="245"/>
    <n v="10.5"/>
  </r>
  <r>
    <s v="2024-01-23"/>
    <x v="0"/>
    <x v="1"/>
    <x v="1"/>
    <n v="102"/>
    <n v="29478"/>
    <n v="8813"/>
    <x v="7"/>
    <n v="59"/>
    <n v="1"/>
    <n v="3.6"/>
    <n v="0.29896872243707173"/>
    <n v="289"/>
    <n v="12.75"/>
  </r>
  <r>
    <s v="2024-01-23"/>
    <x v="0"/>
    <x v="1"/>
    <x v="2"/>
    <n v="34"/>
    <n v="11662"/>
    <n v="4759"/>
    <x v="4"/>
    <n v="43"/>
    <n v="2"/>
    <n v="4.5999999999999996"/>
    <n v="0.40807751672097409"/>
    <n v="343"/>
    <n v="5.666666666666667"/>
  </r>
  <r>
    <s v="2024-01-24"/>
    <x v="0"/>
    <x v="2"/>
    <x v="0"/>
    <n v="48"/>
    <n v="10176"/>
    <n v="2871"/>
    <x v="3"/>
    <n v="43"/>
    <n v="1"/>
    <n v="4"/>
    <n v="0.28213443396226418"/>
    <n v="212"/>
    <n v="12"/>
  </r>
  <r>
    <s v="2024-01-24"/>
    <x v="0"/>
    <x v="2"/>
    <x v="1"/>
    <n v="84"/>
    <n v="39060"/>
    <n v="12795"/>
    <x v="4"/>
    <n v="62"/>
    <n v="3"/>
    <n v="4.5999999999999996"/>
    <n v="0.32757296466973884"/>
    <n v="465"/>
    <n v="14"/>
  </r>
  <r>
    <s v="2024-01-24"/>
    <x v="0"/>
    <x v="2"/>
    <x v="2"/>
    <n v="37"/>
    <n v="7696"/>
    <n v="3010"/>
    <x v="3"/>
    <n v="65"/>
    <n v="3"/>
    <n v="4.2"/>
    <n v="0.39111226611226613"/>
    <n v="208"/>
    <n v="9.25"/>
  </r>
  <r>
    <s v="2024-01-25"/>
    <x v="0"/>
    <x v="3"/>
    <x v="0"/>
    <n v="32"/>
    <n v="7360"/>
    <n v="2194"/>
    <x v="3"/>
    <n v="38"/>
    <n v="1"/>
    <n v="4.4000000000000004"/>
    <n v="0.29809782608695651"/>
    <n v="230"/>
    <n v="8"/>
  </r>
  <r>
    <s v="2024-01-25"/>
    <x v="0"/>
    <x v="3"/>
    <x v="1"/>
    <n v="85"/>
    <n v="37570"/>
    <n v="13642"/>
    <x v="2"/>
    <n v="62"/>
    <n v="2"/>
    <n v="4.4000000000000004"/>
    <n v="0.36310886345488419"/>
    <n v="442"/>
    <n v="12.142857142857142"/>
  </r>
  <r>
    <s v="2024-01-25"/>
    <x v="0"/>
    <x v="3"/>
    <x v="2"/>
    <n v="35"/>
    <n v="8120"/>
    <n v="3032"/>
    <x v="3"/>
    <n v="43"/>
    <n v="0"/>
    <n v="3.7"/>
    <n v="0.3733990147783251"/>
    <n v="232"/>
    <n v="8.75"/>
  </r>
  <r>
    <s v="2024-01-26"/>
    <x v="0"/>
    <x v="4"/>
    <x v="0"/>
    <n v="63"/>
    <n v="12222"/>
    <n v="4191"/>
    <x v="5"/>
    <n v="39"/>
    <n v="0"/>
    <n v="4.3"/>
    <n v="0.34290623465881198"/>
    <n v="194"/>
    <n v="12.6"/>
  </r>
  <r>
    <s v="2024-01-26"/>
    <x v="0"/>
    <x v="4"/>
    <x v="1"/>
    <n v="175"/>
    <n v="55650"/>
    <n v="21611"/>
    <x v="4"/>
    <n v="67"/>
    <n v="2"/>
    <n v="4.3"/>
    <n v="0.38833782569631625"/>
    <n v="318"/>
    <n v="29.166666666666668"/>
  </r>
  <r>
    <s v="2024-01-26"/>
    <x v="0"/>
    <x v="4"/>
    <x v="2"/>
    <n v="86"/>
    <n v="22102"/>
    <n v="8572"/>
    <x v="2"/>
    <n v="52"/>
    <n v="3"/>
    <n v="4.3"/>
    <n v="0.38783820468735863"/>
    <n v="257"/>
    <n v="12.285714285714286"/>
  </r>
  <r>
    <s v="2024-01-27"/>
    <x v="0"/>
    <x v="5"/>
    <x v="0"/>
    <n v="33"/>
    <n v="6765"/>
    <n v="2092"/>
    <x v="5"/>
    <n v="41"/>
    <n v="1"/>
    <n v="4.4000000000000004"/>
    <n v="0.3092387287509239"/>
    <n v="205"/>
    <n v="6.6"/>
  </r>
  <r>
    <s v="2024-01-27"/>
    <x v="0"/>
    <x v="5"/>
    <x v="1"/>
    <n v="119"/>
    <n v="36176"/>
    <n v="12912"/>
    <x v="1"/>
    <n v="72"/>
    <n v="4"/>
    <n v="4.5"/>
    <n v="0.35692171605484296"/>
    <n v="304"/>
    <n v="11.9"/>
  </r>
  <r>
    <s v="2024-01-27"/>
    <x v="0"/>
    <x v="5"/>
    <x v="2"/>
    <n v="83"/>
    <n v="27307"/>
    <n v="9830"/>
    <x v="5"/>
    <n v="45"/>
    <n v="2"/>
    <n v="4.0999999999999996"/>
    <n v="0.35998095726370527"/>
    <n v="329"/>
    <n v="16.600000000000001"/>
  </r>
  <r>
    <s v="2024-01-28"/>
    <x v="0"/>
    <x v="6"/>
    <x v="0"/>
    <n v="41"/>
    <n v="7708"/>
    <n v="2733"/>
    <x v="0"/>
    <n v="35"/>
    <n v="1"/>
    <n v="4.3"/>
    <n v="0.35456668396471197"/>
    <n v="188"/>
    <n v="13.666666666666666"/>
  </r>
  <r>
    <s v="2024-01-28"/>
    <x v="0"/>
    <x v="6"/>
    <x v="1"/>
    <n v="140"/>
    <n v="53200"/>
    <n v="17093"/>
    <x v="1"/>
    <n v="52"/>
    <n v="3"/>
    <n v="4.5999999999999996"/>
    <n v="0.32129699248120303"/>
    <n v="380"/>
    <n v="14"/>
  </r>
  <r>
    <s v="2024-01-28"/>
    <x v="0"/>
    <x v="6"/>
    <x v="2"/>
    <n v="83"/>
    <n v="26228"/>
    <n v="8836"/>
    <x v="4"/>
    <n v="51"/>
    <n v="0"/>
    <n v="4.5999999999999996"/>
    <n v="0.33689187128259873"/>
    <n v="316"/>
    <n v="13.833333333333334"/>
  </r>
  <r>
    <s v="2024-01-29"/>
    <x v="0"/>
    <x v="0"/>
    <x v="0"/>
    <n v="21"/>
    <n v="4389"/>
    <n v="1418"/>
    <x v="5"/>
    <n v="54"/>
    <n v="0"/>
    <n v="4.5"/>
    <n v="0.32308042834358625"/>
    <n v="209"/>
    <n v="4.2"/>
  </r>
  <r>
    <s v="2024-01-29"/>
    <x v="0"/>
    <x v="0"/>
    <x v="1"/>
    <n v="78"/>
    <n v="23712"/>
    <n v="8098"/>
    <x v="6"/>
    <n v="51"/>
    <n v="3"/>
    <n v="3.9"/>
    <n v="0.34151484480431848"/>
    <n v="304"/>
    <n v="8.6666666666666661"/>
  </r>
  <r>
    <s v="2024-01-29"/>
    <x v="0"/>
    <x v="0"/>
    <x v="2"/>
    <n v="24"/>
    <n v="6528"/>
    <n v="2219"/>
    <x v="4"/>
    <n v="49"/>
    <n v="0"/>
    <n v="3.9"/>
    <n v="0.33992034313725489"/>
    <n v="272"/>
    <n v="4"/>
  </r>
  <r>
    <s v="2024-01-30"/>
    <x v="0"/>
    <x v="1"/>
    <x v="0"/>
    <n v="31"/>
    <n v="6975"/>
    <n v="2036"/>
    <x v="0"/>
    <n v="55"/>
    <n v="0"/>
    <n v="4.0999999999999996"/>
    <n v="0.29189964157706094"/>
    <n v="225"/>
    <n v="10.333333333333334"/>
  </r>
  <r>
    <s v="2024-01-30"/>
    <x v="0"/>
    <x v="1"/>
    <x v="1"/>
    <n v="103"/>
    <n v="32033"/>
    <n v="12067"/>
    <x v="7"/>
    <n v="72"/>
    <n v="3"/>
    <n v="4.7"/>
    <n v="0.37670527268754095"/>
    <n v="311"/>
    <n v="12.875"/>
  </r>
  <r>
    <s v="2024-01-30"/>
    <x v="0"/>
    <x v="1"/>
    <x v="2"/>
    <n v="62"/>
    <n v="13330"/>
    <n v="5389"/>
    <x v="2"/>
    <n v="49"/>
    <n v="1"/>
    <n v="4.3"/>
    <n v="0.40427606901725432"/>
    <n v="215"/>
    <n v="8.8571428571428577"/>
  </r>
  <r>
    <s v="2024-01-31"/>
    <x v="0"/>
    <x v="2"/>
    <x v="0"/>
    <n v="50"/>
    <n v="13500"/>
    <n v="4083"/>
    <x v="0"/>
    <n v="35"/>
    <n v="1"/>
    <n v="4.4000000000000004"/>
    <n v="0.30244444444444446"/>
    <n v="270"/>
    <n v="16.666666666666668"/>
  </r>
  <r>
    <s v="2024-01-31"/>
    <x v="0"/>
    <x v="2"/>
    <x v="1"/>
    <n v="112"/>
    <n v="32256"/>
    <n v="10980"/>
    <x v="6"/>
    <n v="56"/>
    <n v="4"/>
    <n v="4.5"/>
    <n v="0.3404017857142857"/>
    <n v="288"/>
    <n v="12.444444444444445"/>
  </r>
  <r>
    <s v="2024-01-31"/>
    <x v="0"/>
    <x v="2"/>
    <x v="2"/>
    <n v="32"/>
    <n v="6720"/>
    <n v="2822"/>
    <x v="5"/>
    <n v="52"/>
    <n v="2"/>
    <n v="4.5"/>
    <n v="0.4199404761904762"/>
    <n v="210"/>
    <n v="6.4"/>
  </r>
  <r>
    <s v="2024-02-01"/>
    <x v="1"/>
    <x v="3"/>
    <x v="0"/>
    <n v="29"/>
    <n v="6670"/>
    <n v="2212"/>
    <x v="5"/>
    <n v="51"/>
    <n v="1"/>
    <n v="4.5"/>
    <n v="0.33163418290854574"/>
    <n v="230"/>
    <n v="5.8"/>
  </r>
  <r>
    <s v="2024-02-01"/>
    <x v="1"/>
    <x v="3"/>
    <x v="1"/>
    <n v="94"/>
    <n v="44556"/>
    <n v="17736"/>
    <x v="1"/>
    <n v="63"/>
    <n v="0"/>
    <n v="4"/>
    <n v="0.39806086722326961"/>
    <n v="474"/>
    <n v="9.4"/>
  </r>
  <r>
    <s v="2024-02-01"/>
    <x v="1"/>
    <x v="3"/>
    <x v="2"/>
    <n v="62"/>
    <n v="21514"/>
    <n v="7298"/>
    <x v="5"/>
    <n v="40"/>
    <n v="0"/>
    <n v="4.5"/>
    <n v="0.3392209723900716"/>
    <n v="347"/>
    <n v="12.4"/>
  </r>
  <r>
    <s v="2024-02-02"/>
    <x v="1"/>
    <x v="4"/>
    <x v="0"/>
    <n v="30"/>
    <n v="8370"/>
    <n v="2898"/>
    <x v="0"/>
    <n v="45"/>
    <n v="1"/>
    <n v="4"/>
    <n v="0.34623655913978496"/>
    <n v="279"/>
    <n v="10"/>
  </r>
  <r>
    <s v="2024-02-02"/>
    <x v="1"/>
    <x v="4"/>
    <x v="1"/>
    <n v="142"/>
    <n v="59640"/>
    <n v="23285"/>
    <x v="7"/>
    <n v="49"/>
    <n v="4"/>
    <n v="4"/>
    <n v="0.39042588866532529"/>
    <n v="420"/>
    <n v="17.75"/>
  </r>
  <r>
    <s v="2024-02-02"/>
    <x v="1"/>
    <x v="4"/>
    <x v="2"/>
    <n v="81"/>
    <n v="17415"/>
    <n v="5262"/>
    <x v="5"/>
    <n v="53"/>
    <n v="3"/>
    <n v="4.4000000000000004"/>
    <n v="0.30215331610680446"/>
    <n v="215"/>
    <n v="16.2"/>
  </r>
  <r>
    <s v="2024-02-03"/>
    <x v="1"/>
    <x v="5"/>
    <x v="0"/>
    <n v="43"/>
    <n v="7955"/>
    <n v="3107"/>
    <x v="5"/>
    <n v="38"/>
    <n v="2"/>
    <n v="4.2"/>
    <n v="0.39057196731615335"/>
    <n v="185"/>
    <n v="8.6"/>
  </r>
  <r>
    <s v="2024-02-03"/>
    <x v="1"/>
    <x v="5"/>
    <x v="1"/>
    <n v="159"/>
    <n v="49926"/>
    <n v="19481"/>
    <x v="2"/>
    <n v="63"/>
    <n v="4"/>
    <n v="4.5999999999999996"/>
    <n v="0.39019749228858713"/>
    <n v="314"/>
    <n v="22.714285714285715"/>
  </r>
  <r>
    <s v="2024-02-03"/>
    <x v="1"/>
    <x v="5"/>
    <x v="2"/>
    <n v="53"/>
    <n v="16006"/>
    <n v="4753"/>
    <x v="5"/>
    <n v="56"/>
    <n v="0"/>
    <n v="4.3"/>
    <n v="0.29695114332125455"/>
    <n v="302"/>
    <n v="10.6"/>
  </r>
  <r>
    <s v="2024-02-04"/>
    <x v="1"/>
    <x v="6"/>
    <x v="0"/>
    <n v="41"/>
    <n v="10701"/>
    <n v="4154"/>
    <x v="3"/>
    <n v="35"/>
    <n v="2"/>
    <n v="3.8"/>
    <n v="0.38818801981123258"/>
    <n v="261"/>
    <n v="10.25"/>
  </r>
  <r>
    <s v="2024-02-04"/>
    <x v="1"/>
    <x v="6"/>
    <x v="1"/>
    <n v="187"/>
    <n v="81906"/>
    <n v="31596"/>
    <x v="6"/>
    <n v="72"/>
    <n v="3"/>
    <n v="4.2"/>
    <n v="0.38575928503406343"/>
    <n v="438"/>
    <n v="20.777777777777779"/>
  </r>
  <r>
    <s v="2024-02-04"/>
    <x v="1"/>
    <x v="6"/>
    <x v="2"/>
    <n v="79"/>
    <n v="25280"/>
    <n v="7469"/>
    <x v="4"/>
    <n v="45"/>
    <n v="3"/>
    <n v="3.9"/>
    <n v="0.2954509493670886"/>
    <n v="320"/>
    <n v="13.166666666666666"/>
  </r>
  <r>
    <s v="2024-02-05"/>
    <x v="1"/>
    <x v="0"/>
    <x v="0"/>
    <n v="16"/>
    <n v="3072"/>
    <n v="1177"/>
    <x v="0"/>
    <n v="50"/>
    <n v="0"/>
    <n v="4.0999999999999996"/>
    <n v="0.38313802083333331"/>
    <n v="192"/>
    <n v="5.333333333333333"/>
  </r>
  <r>
    <s v="2024-02-05"/>
    <x v="1"/>
    <x v="0"/>
    <x v="1"/>
    <n v="49"/>
    <n v="22687"/>
    <n v="7567"/>
    <x v="4"/>
    <n v="61"/>
    <n v="4"/>
    <n v="3.8"/>
    <n v="0.33353903116322126"/>
    <n v="463"/>
    <n v="8.1666666666666661"/>
  </r>
  <r>
    <s v="2024-02-05"/>
    <x v="1"/>
    <x v="0"/>
    <x v="2"/>
    <n v="23"/>
    <n v="5244"/>
    <n v="1820"/>
    <x v="3"/>
    <n v="48"/>
    <n v="2"/>
    <n v="4"/>
    <n v="0.34706331045003813"/>
    <n v="228"/>
    <n v="5.75"/>
  </r>
  <r>
    <s v="2024-02-06"/>
    <x v="1"/>
    <x v="1"/>
    <x v="0"/>
    <n v="38"/>
    <n v="8360"/>
    <n v="2702"/>
    <x v="0"/>
    <n v="49"/>
    <n v="1"/>
    <n v="4.5"/>
    <n v="0.32320574162679427"/>
    <n v="220"/>
    <n v="12.666666666666666"/>
  </r>
  <r>
    <s v="2024-02-06"/>
    <x v="1"/>
    <x v="1"/>
    <x v="1"/>
    <n v="55"/>
    <n v="17380"/>
    <n v="6904"/>
    <x v="7"/>
    <n v="48"/>
    <n v="0"/>
    <n v="3.5"/>
    <n v="0.39723820483314154"/>
    <n v="316"/>
    <n v="6.875"/>
  </r>
  <r>
    <s v="2024-02-06"/>
    <x v="1"/>
    <x v="1"/>
    <x v="2"/>
    <n v="44"/>
    <n v="13420"/>
    <n v="3928"/>
    <x v="2"/>
    <n v="47"/>
    <n v="1"/>
    <n v="3.9"/>
    <n v="0.29269746646795824"/>
    <n v="305"/>
    <n v="6.2857142857142856"/>
  </r>
  <r>
    <s v="2024-02-07"/>
    <x v="1"/>
    <x v="2"/>
    <x v="0"/>
    <n v="38"/>
    <n v="9310"/>
    <n v="3171"/>
    <x v="0"/>
    <n v="51"/>
    <n v="0"/>
    <n v="4.3"/>
    <n v="0.34060150375939852"/>
    <n v="245"/>
    <n v="12.666666666666666"/>
  </r>
  <r>
    <s v="2024-02-07"/>
    <x v="1"/>
    <x v="2"/>
    <x v="1"/>
    <n v="63"/>
    <n v="20349"/>
    <n v="6223"/>
    <x v="2"/>
    <n v="62"/>
    <n v="3"/>
    <n v="4.2"/>
    <n v="0.30581355349157208"/>
    <n v="323"/>
    <n v="9"/>
  </r>
  <r>
    <s v="2024-02-07"/>
    <x v="1"/>
    <x v="2"/>
    <x v="2"/>
    <n v="34"/>
    <n v="11730"/>
    <n v="3416"/>
    <x v="5"/>
    <n v="51"/>
    <n v="1"/>
    <n v="3.8"/>
    <n v="0.29121909633418586"/>
    <n v="345"/>
    <n v="6.8"/>
  </r>
  <r>
    <s v="2024-02-08"/>
    <x v="1"/>
    <x v="3"/>
    <x v="0"/>
    <n v="49"/>
    <n v="10682"/>
    <n v="3072"/>
    <x v="0"/>
    <n v="47"/>
    <n v="1"/>
    <n v="4.0999999999999996"/>
    <n v="0.2875865942707358"/>
    <n v="218"/>
    <n v="16.333333333333332"/>
  </r>
  <r>
    <s v="2024-02-08"/>
    <x v="1"/>
    <x v="3"/>
    <x v="1"/>
    <n v="69"/>
    <n v="21114"/>
    <n v="7931"/>
    <x v="1"/>
    <n v="63"/>
    <n v="4"/>
    <n v="3.8"/>
    <n v="0.37562754570427204"/>
    <n v="306"/>
    <n v="6.9"/>
  </r>
  <r>
    <s v="2024-02-08"/>
    <x v="1"/>
    <x v="3"/>
    <x v="2"/>
    <n v="67"/>
    <n v="13936"/>
    <n v="5728"/>
    <x v="4"/>
    <n v="53"/>
    <n v="1"/>
    <n v="4.4000000000000004"/>
    <n v="0.41102181400688864"/>
    <n v="208"/>
    <n v="11.166666666666666"/>
  </r>
  <r>
    <s v="2024-02-09"/>
    <x v="1"/>
    <x v="4"/>
    <x v="0"/>
    <n v="49"/>
    <n v="9261"/>
    <n v="3074"/>
    <x v="5"/>
    <n v="36"/>
    <n v="0"/>
    <n v="4.2"/>
    <n v="0.33192959723571969"/>
    <n v="189"/>
    <n v="9.8000000000000007"/>
  </r>
  <r>
    <s v="2024-02-09"/>
    <x v="1"/>
    <x v="4"/>
    <x v="1"/>
    <n v="72"/>
    <n v="20952"/>
    <n v="6383"/>
    <x v="7"/>
    <n v="46"/>
    <n v="0"/>
    <n v="4.5999999999999996"/>
    <n v="0.30464872088583428"/>
    <n v="291"/>
    <n v="9"/>
  </r>
  <r>
    <s v="2024-02-09"/>
    <x v="1"/>
    <x v="4"/>
    <x v="2"/>
    <n v="48"/>
    <n v="14256"/>
    <n v="5269"/>
    <x v="5"/>
    <n v="43"/>
    <n v="2"/>
    <n v="4.3"/>
    <n v="0.36959876543209874"/>
    <n v="297"/>
    <n v="9.6"/>
  </r>
  <r>
    <s v="2024-02-10"/>
    <x v="1"/>
    <x v="5"/>
    <x v="0"/>
    <n v="33"/>
    <n v="6996"/>
    <n v="2427"/>
    <x v="5"/>
    <n v="52"/>
    <n v="0"/>
    <n v="4.3"/>
    <n v="0.34691252144082335"/>
    <n v="212"/>
    <n v="6.6"/>
  </r>
  <r>
    <s v="2024-02-10"/>
    <x v="1"/>
    <x v="5"/>
    <x v="1"/>
    <n v="166"/>
    <n v="62582"/>
    <n v="22025"/>
    <x v="4"/>
    <n v="74"/>
    <n v="1"/>
    <n v="4.0999999999999996"/>
    <n v="0.35193825700680709"/>
    <n v="377"/>
    <n v="27.666666666666668"/>
  </r>
  <r>
    <s v="2024-02-10"/>
    <x v="1"/>
    <x v="5"/>
    <x v="2"/>
    <n v="82"/>
    <n v="20008"/>
    <n v="8075"/>
    <x v="4"/>
    <n v="57"/>
    <n v="2"/>
    <n v="4"/>
    <n v="0.40358856457417031"/>
    <n v="244"/>
    <n v="13.666666666666666"/>
  </r>
  <r>
    <s v="2024-02-11"/>
    <x v="1"/>
    <x v="6"/>
    <x v="0"/>
    <n v="75"/>
    <n v="17700"/>
    <n v="5944"/>
    <x v="5"/>
    <n v="49"/>
    <n v="2"/>
    <n v="4.3"/>
    <n v="0.33581920903954804"/>
    <n v="236"/>
    <n v="15"/>
  </r>
  <r>
    <s v="2024-02-11"/>
    <x v="1"/>
    <x v="6"/>
    <x v="1"/>
    <n v="166"/>
    <n v="68724"/>
    <n v="24514"/>
    <x v="2"/>
    <n v="58"/>
    <n v="3"/>
    <n v="4.3"/>
    <n v="0.35670217100285201"/>
    <n v="414"/>
    <n v="23.714285714285715"/>
  </r>
  <r>
    <s v="2024-02-11"/>
    <x v="1"/>
    <x v="6"/>
    <x v="2"/>
    <n v="97"/>
    <n v="22504"/>
    <n v="8112"/>
    <x v="4"/>
    <n v="47"/>
    <n v="2"/>
    <n v="4.5"/>
    <n v="0.36046924991112689"/>
    <n v="232"/>
    <n v="16.166666666666668"/>
  </r>
  <r>
    <s v="2024-02-12"/>
    <x v="1"/>
    <x v="0"/>
    <x v="0"/>
    <n v="21"/>
    <n v="5082"/>
    <n v="1831"/>
    <x v="3"/>
    <n v="54"/>
    <n v="2"/>
    <n v="3.8"/>
    <n v="0.36029122392758756"/>
    <n v="242"/>
    <n v="5.25"/>
  </r>
  <r>
    <s v="2024-02-12"/>
    <x v="1"/>
    <x v="0"/>
    <x v="1"/>
    <n v="98"/>
    <n v="34594"/>
    <n v="12218"/>
    <x v="2"/>
    <n v="64"/>
    <n v="1"/>
    <n v="4.7"/>
    <n v="0.3531826328265017"/>
    <n v="353"/>
    <n v="14"/>
  </r>
  <r>
    <s v="2024-02-12"/>
    <x v="1"/>
    <x v="0"/>
    <x v="2"/>
    <n v="46"/>
    <n v="15364"/>
    <n v="5631"/>
    <x v="2"/>
    <n v="45"/>
    <n v="0"/>
    <n v="3.8"/>
    <n v="0.36650611819838586"/>
    <n v="334"/>
    <n v="6.5714285714285712"/>
  </r>
  <r>
    <s v="2024-02-13"/>
    <x v="1"/>
    <x v="1"/>
    <x v="0"/>
    <n v="21"/>
    <n v="3822"/>
    <n v="1505"/>
    <x v="3"/>
    <n v="42"/>
    <n v="1"/>
    <n v="4.5"/>
    <n v="0.39377289377289376"/>
    <n v="182"/>
    <n v="5.25"/>
  </r>
  <r>
    <s v="2024-02-13"/>
    <x v="1"/>
    <x v="1"/>
    <x v="1"/>
    <n v="85"/>
    <n v="32215"/>
    <n v="10512"/>
    <x v="1"/>
    <n v="56"/>
    <n v="4"/>
    <n v="4.5"/>
    <n v="0.32630762067359925"/>
    <n v="379"/>
    <n v="8.5"/>
  </r>
  <r>
    <s v="2024-02-13"/>
    <x v="1"/>
    <x v="1"/>
    <x v="2"/>
    <n v="43"/>
    <n v="13545"/>
    <n v="5384"/>
    <x v="3"/>
    <n v="60"/>
    <n v="2"/>
    <n v="3.6"/>
    <n v="0.39748984865263937"/>
    <n v="315"/>
    <n v="10.75"/>
  </r>
  <r>
    <s v="2024-02-14"/>
    <x v="1"/>
    <x v="2"/>
    <x v="0"/>
    <n v="48"/>
    <n v="12480"/>
    <n v="4324"/>
    <x v="5"/>
    <n v="44"/>
    <n v="1"/>
    <n v="4.2"/>
    <n v="0.34647435897435896"/>
    <n v="260"/>
    <n v="9.6"/>
  </r>
  <r>
    <s v="2024-02-14"/>
    <x v="1"/>
    <x v="2"/>
    <x v="1"/>
    <n v="72"/>
    <n v="29304"/>
    <n v="10819"/>
    <x v="4"/>
    <n v="46"/>
    <n v="1"/>
    <n v="4.5"/>
    <n v="0.36919874419874421"/>
    <n v="407"/>
    <n v="12"/>
  </r>
  <r>
    <s v="2024-02-14"/>
    <x v="1"/>
    <x v="2"/>
    <x v="2"/>
    <n v="44"/>
    <n v="11132"/>
    <n v="4192"/>
    <x v="2"/>
    <n v="41"/>
    <n v="1"/>
    <n v="3.7"/>
    <n v="0.37657204455623428"/>
    <n v="253"/>
    <n v="6.2857142857142856"/>
  </r>
  <r>
    <s v="2024-02-15"/>
    <x v="1"/>
    <x v="3"/>
    <x v="0"/>
    <n v="31"/>
    <n v="7378"/>
    <n v="2232"/>
    <x v="3"/>
    <n v="52"/>
    <n v="0"/>
    <n v="4.0999999999999996"/>
    <n v="0.30252100840336132"/>
    <n v="238"/>
    <n v="7.75"/>
  </r>
  <r>
    <s v="2024-02-15"/>
    <x v="1"/>
    <x v="3"/>
    <x v="1"/>
    <n v="70"/>
    <n v="31640"/>
    <n v="11547"/>
    <x v="7"/>
    <n v="68"/>
    <n v="2"/>
    <n v="3.7"/>
    <n v="0.3649494310998736"/>
    <n v="452"/>
    <n v="8.75"/>
  </r>
  <r>
    <s v="2024-02-15"/>
    <x v="1"/>
    <x v="3"/>
    <x v="2"/>
    <n v="44"/>
    <n v="13112"/>
    <n v="5408"/>
    <x v="5"/>
    <n v="59"/>
    <n v="2"/>
    <n v="4.5"/>
    <n v="0.41244661378889569"/>
    <n v="298"/>
    <n v="8.8000000000000007"/>
  </r>
  <r>
    <s v="2024-02-16"/>
    <x v="1"/>
    <x v="4"/>
    <x v="0"/>
    <n v="48"/>
    <n v="8736"/>
    <n v="2979"/>
    <x v="5"/>
    <n v="50"/>
    <n v="0"/>
    <n v="4"/>
    <n v="0.34100274725274726"/>
    <n v="182"/>
    <n v="9.6"/>
  </r>
  <r>
    <s v="2024-02-16"/>
    <x v="1"/>
    <x v="4"/>
    <x v="1"/>
    <n v="135"/>
    <n v="40635"/>
    <n v="16272"/>
    <x v="7"/>
    <n v="61"/>
    <n v="2"/>
    <n v="4.2"/>
    <n v="0.40044296788482836"/>
    <n v="301"/>
    <n v="16.875"/>
  </r>
  <r>
    <s v="2024-02-16"/>
    <x v="1"/>
    <x v="4"/>
    <x v="2"/>
    <n v="87"/>
    <n v="19749"/>
    <n v="8148"/>
    <x v="4"/>
    <n v="43"/>
    <n v="1"/>
    <n v="3.6"/>
    <n v="0.4125778520431414"/>
    <n v="227"/>
    <n v="14.5"/>
  </r>
  <r>
    <s v="2024-02-17"/>
    <x v="1"/>
    <x v="5"/>
    <x v="0"/>
    <n v="37"/>
    <n v="7622"/>
    <n v="3194"/>
    <x v="5"/>
    <n v="50"/>
    <n v="1"/>
    <n v="4.2"/>
    <n v="0.4190501180792443"/>
    <n v="206"/>
    <n v="7.4"/>
  </r>
  <r>
    <s v="2024-02-17"/>
    <x v="1"/>
    <x v="5"/>
    <x v="1"/>
    <n v="179"/>
    <n v="63545"/>
    <n v="21771"/>
    <x v="6"/>
    <n v="48"/>
    <n v="2"/>
    <n v="4.7"/>
    <n v="0.34260760091273901"/>
    <n v="355"/>
    <n v="19.888888888888889"/>
  </r>
  <r>
    <s v="2024-02-17"/>
    <x v="1"/>
    <x v="5"/>
    <x v="2"/>
    <n v="71"/>
    <n v="24850"/>
    <n v="9619"/>
    <x v="4"/>
    <n v="44"/>
    <n v="2"/>
    <n v="3.8"/>
    <n v="0.38708249496981889"/>
    <n v="350"/>
    <n v="11.833333333333334"/>
  </r>
  <r>
    <s v="2024-02-18"/>
    <x v="1"/>
    <x v="6"/>
    <x v="0"/>
    <n v="35"/>
    <n v="6895"/>
    <n v="2073"/>
    <x v="3"/>
    <n v="38"/>
    <n v="1"/>
    <n v="4.0999999999999996"/>
    <n v="0.30065264684554027"/>
    <n v="197"/>
    <n v="8.75"/>
  </r>
  <r>
    <s v="2024-02-18"/>
    <x v="1"/>
    <x v="6"/>
    <x v="1"/>
    <n v="189"/>
    <n v="76923"/>
    <n v="23955"/>
    <x v="6"/>
    <n v="74"/>
    <n v="1"/>
    <n v="4.2"/>
    <n v="0.31141531141531142"/>
    <n v="407"/>
    <n v="21"/>
  </r>
  <r>
    <s v="2024-02-18"/>
    <x v="1"/>
    <x v="6"/>
    <x v="2"/>
    <n v="62"/>
    <n v="17360"/>
    <n v="5065"/>
    <x v="4"/>
    <n v="59"/>
    <n v="0"/>
    <n v="4.3"/>
    <n v="0.29176267281105989"/>
    <n v="280"/>
    <n v="10.333333333333334"/>
  </r>
  <r>
    <s v="2024-02-19"/>
    <x v="1"/>
    <x v="0"/>
    <x v="0"/>
    <n v="16"/>
    <n v="2960"/>
    <n v="905"/>
    <x v="3"/>
    <n v="41"/>
    <n v="0"/>
    <n v="4.3"/>
    <n v="0.30574324324324326"/>
    <n v="185"/>
    <n v="4"/>
  </r>
  <r>
    <s v="2024-02-19"/>
    <x v="1"/>
    <x v="0"/>
    <x v="1"/>
    <n v="48"/>
    <n v="22032"/>
    <n v="6667"/>
    <x v="4"/>
    <n v="65"/>
    <n v="0"/>
    <n v="4.4000000000000004"/>
    <n v="0.30260530137981118"/>
    <n v="459"/>
    <n v="8"/>
  </r>
  <r>
    <s v="2024-02-19"/>
    <x v="1"/>
    <x v="0"/>
    <x v="2"/>
    <n v="33"/>
    <n v="9273"/>
    <n v="3706"/>
    <x v="4"/>
    <n v="48"/>
    <n v="1"/>
    <n v="4.5"/>
    <n v="0.39965491211042814"/>
    <n v="281"/>
    <n v="5.5"/>
  </r>
  <r>
    <s v="2024-02-20"/>
    <x v="1"/>
    <x v="1"/>
    <x v="0"/>
    <n v="15"/>
    <n v="3045"/>
    <n v="956"/>
    <x v="0"/>
    <n v="47"/>
    <n v="1"/>
    <n v="4.4000000000000004"/>
    <n v="0.31395730706075536"/>
    <n v="203"/>
    <n v="5"/>
  </r>
  <r>
    <s v="2024-02-20"/>
    <x v="1"/>
    <x v="1"/>
    <x v="1"/>
    <n v="105"/>
    <n v="43260"/>
    <n v="17992"/>
    <x v="2"/>
    <n v="67"/>
    <n v="1"/>
    <n v="3.5"/>
    <n v="0.41590383726306057"/>
    <n v="412"/>
    <n v="15"/>
  </r>
  <r>
    <s v="2024-02-20"/>
    <x v="1"/>
    <x v="1"/>
    <x v="2"/>
    <n v="30"/>
    <n v="7830"/>
    <n v="2335"/>
    <x v="3"/>
    <n v="48"/>
    <n v="1"/>
    <n v="4.3"/>
    <n v="0.29821200510855683"/>
    <n v="261"/>
    <n v="7.5"/>
  </r>
  <r>
    <s v="2024-02-21"/>
    <x v="1"/>
    <x v="2"/>
    <x v="0"/>
    <n v="25"/>
    <n v="6250"/>
    <n v="1970"/>
    <x v="3"/>
    <n v="55"/>
    <n v="2"/>
    <n v="3.9"/>
    <n v="0.31519999999999998"/>
    <n v="250"/>
    <n v="6.25"/>
  </r>
  <r>
    <s v="2024-02-21"/>
    <x v="1"/>
    <x v="2"/>
    <x v="1"/>
    <n v="116"/>
    <n v="46168"/>
    <n v="14811"/>
    <x v="1"/>
    <n v="47"/>
    <n v="0"/>
    <n v="3.9"/>
    <n v="0.32080661930341364"/>
    <n v="398"/>
    <n v="11.6"/>
  </r>
  <r>
    <s v="2024-02-21"/>
    <x v="1"/>
    <x v="2"/>
    <x v="2"/>
    <n v="24"/>
    <n v="6384"/>
    <n v="1961"/>
    <x v="4"/>
    <n v="52"/>
    <n v="2"/>
    <n v="4"/>
    <n v="0.30717418546365916"/>
    <n v="266"/>
    <n v="4"/>
  </r>
  <r>
    <s v="2024-02-22"/>
    <x v="1"/>
    <x v="3"/>
    <x v="0"/>
    <n v="39"/>
    <n v="7215"/>
    <n v="2721"/>
    <x v="0"/>
    <n v="52"/>
    <n v="2"/>
    <n v="3.8"/>
    <n v="0.37713097713097715"/>
    <n v="185"/>
    <n v="13"/>
  </r>
  <r>
    <s v="2024-02-22"/>
    <x v="1"/>
    <x v="3"/>
    <x v="1"/>
    <n v="103"/>
    <n v="29458"/>
    <n v="10169"/>
    <x v="4"/>
    <n v="46"/>
    <n v="0"/>
    <n v="4.5999999999999996"/>
    <n v="0.34520334034897143"/>
    <n v="286"/>
    <n v="17.166666666666668"/>
  </r>
  <r>
    <s v="2024-02-22"/>
    <x v="1"/>
    <x v="3"/>
    <x v="2"/>
    <n v="51"/>
    <n v="16983"/>
    <n v="6261"/>
    <x v="3"/>
    <n v="45"/>
    <n v="1"/>
    <n v="4.0999999999999996"/>
    <n v="0.36866278042748629"/>
    <n v="333"/>
    <n v="12.75"/>
  </r>
  <r>
    <s v="2024-02-23"/>
    <x v="1"/>
    <x v="4"/>
    <x v="0"/>
    <n v="36"/>
    <n v="6732"/>
    <n v="2168"/>
    <x v="3"/>
    <n v="47"/>
    <n v="1"/>
    <n v="4.0999999999999996"/>
    <n v="0.32204396910279265"/>
    <n v="187"/>
    <n v="9"/>
  </r>
  <r>
    <s v="2024-02-23"/>
    <x v="1"/>
    <x v="4"/>
    <x v="1"/>
    <n v="178"/>
    <n v="51264"/>
    <n v="20249"/>
    <x v="4"/>
    <n v="72"/>
    <n v="4"/>
    <n v="3.7"/>
    <n v="0.39499453807740326"/>
    <n v="288"/>
    <n v="29.666666666666668"/>
  </r>
  <r>
    <s v="2024-02-23"/>
    <x v="1"/>
    <x v="4"/>
    <x v="2"/>
    <n v="40"/>
    <n v="11440"/>
    <n v="4220"/>
    <x v="3"/>
    <n v="56"/>
    <n v="1"/>
    <n v="4.2"/>
    <n v="0.36888111888111891"/>
    <n v="286"/>
    <n v="10"/>
  </r>
  <r>
    <s v="2024-02-24"/>
    <x v="1"/>
    <x v="5"/>
    <x v="0"/>
    <n v="29"/>
    <n v="5539"/>
    <n v="2284"/>
    <x v="5"/>
    <n v="35"/>
    <n v="0"/>
    <n v="4.0999999999999996"/>
    <n v="0.41234879942227837"/>
    <n v="191"/>
    <n v="5.8"/>
  </r>
  <r>
    <s v="2024-02-24"/>
    <x v="1"/>
    <x v="5"/>
    <x v="1"/>
    <n v="130"/>
    <n v="45370"/>
    <n v="15514"/>
    <x v="4"/>
    <n v="71"/>
    <n v="4"/>
    <n v="4.5999999999999996"/>
    <n v="0.34194401586951728"/>
    <n v="349"/>
    <n v="21.666666666666668"/>
  </r>
  <r>
    <s v="2024-02-24"/>
    <x v="1"/>
    <x v="5"/>
    <x v="2"/>
    <n v="98"/>
    <n v="34202"/>
    <n v="10043"/>
    <x v="3"/>
    <n v="44"/>
    <n v="0"/>
    <n v="4.4000000000000004"/>
    <n v="0.29363779895912517"/>
    <n v="349"/>
    <n v="24.5"/>
  </r>
  <r>
    <s v="2024-02-25"/>
    <x v="1"/>
    <x v="6"/>
    <x v="0"/>
    <n v="67"/>
    <n v="18224"/>
    <n v="5706"/>
    <x v="5"/>
    <n v="43"/>
    <n v="1"/>
    <n v="4"/>
    <n v="0.31310359964881473"/>
    <n v="272"/>
    <n v="13.4"/>
  </r>
  <r>
    <s v="2024-02-25"/>
    <x v="1"/>
    <x v="6"/>
    <x v="1"/>
    <n v="167"/>
    <n v="66132"/>
    <n v="22307"/>
    <x v="7"/>
    <n v="63"/>
    <n v="3"/>
    <n v="4.5"/>
    <n v="0.3373102280287909"/>
    <n v="396"/>
    <n v="20.875"/>
  </r>
  <r>
    <s v="2024-02-25"/>
    <x v="1"/>
    <x v="6"/>
    <x v="2"/>
    <n v="39"/>
    <n v="10569"/>
    <n v="3633"/>
    <x v="3"/>
    <n v="42"/>
    <n v="1"/>
    <n v="4"/>
    <n v="0.34374112971898951"/>
    <n v="271"/>
    <n v="9.75"/>
  </r>
  <r>
    <s v="2024-02-26"/>
    <x v="1"/>
    <x v="0"/>
    <x v="0"/>
    <n v="30"/>
    <n v="7740"/>
    <n v="2780"/>
    <x v="0"/>
    <n v="46"/>
    <n v="2"/>
    <n v="4.4000000000000004"/>
    <n v="0.35917312661498707"/>
    <n v="258"/>
    <n v="10"/>
  </r>
  <r>
    <s v="2024-02-26"/>
    <x v="1"/>
    <x v="0"/>
    <x v="1"/>
    <n v="93"/>
    <n v="42780"/>
    <n v="17351"/>
    <x v="7"/>
    <n v="58"/>
    <n v="1"/>
    <n v="4.5999999999999996"/>
    <n v="0.40558672276764846"/>
    <n v="460"/>
    <n v="11.625"/>
  </r>
  <r>
    <s v="2024-02-26"/>
    <x v="1"/>
    <x v="0"/>
    <x v="2"/>
    <n v="48"/>
    <n v="10896"/>
    <n v="3588"/>
    <x v="5"/>
    <n v="54"/>
    <n v="3"/>
    <n v="4"/>
    <n v="0.32929515418502203"/>
    <n v="227"/>
    <n v="9.6"/>
  </r>
  <r>
    <s v="2024-02-27"/>
    <x v="1"/>
    <x v="1"/>
    <x v="0"/>
    <n v="44"/>
    <n v="7920"/>
    <n v="2651"/>
    <x v="3"/>
    <n v="36"/>
    <n v="0"/>
    <n v="4.2"/>
    <n v="0.3347222222222222"/>
    <n v="180"/>
    <n v="11"/>
  </r>
  <r>
    <s v="2024-02-27"/>
    <x v="1"/>
    <x v="1"/>
    <x v="1"/>
    <n v="83"/>
    <n v="31291"/>
    <n v="12297"/>
    <x v="4"/>
    <n v="54"/>
    <n v="0"/>
    <n v="3.9"/>
    <n v="0.39298839922022305"/>
    <n v="377"/>
    <n v="13.833333333333334"/>
  </r>
  <r>
    <s v="2024-02-27"/>
    <x v="1"/>
    <x v="1"/>
    <x v="2"/>
    <n v="39"/>
    <n v="10413"/>
    <n v="4139"/>
    <x v="4"/>
    <n v="51"/>
    <n v="1"/>
    <n v="4.5999999999999996"/>
    <n v="0.39748391433784691"/>
    <n v="267"/>
    <n v="6.5"/>
  </r>
  <r>
    <s v="2024-02-28"/>
    <x v="1"/>
    <x v="2"/>
    <x v="0"/>
    <n v="21"/>
    <n v="5229"/>
    <n v="1866"/>
    <x v="0"/>
    <n v="46"/>
    <n v="0"/>
    <n v="3.8"/>
    <n v="0.35685599541021229"/>
    <n v="249"/>
    <n v="7"/>
  </r>
  <r>
    <s v="2024-02-28"/>
    <x v="1"/>
    <x v="2"/>
    <x v="1"/>
    <n v="85"/>
    <n v="29240"/>
    <n v="8799"/>
    <x v="1"/>
    <n v="48"/>
    <n v="1"/>
    <n v="4.4000000000000004"/>
    <n v="0.30092339261285911"/>
    <n v="344"/>
    <n v="8.5"/>
  </r>
  <r>
    <s v="2024-02-28"/>
    <x v="1"/>
    <x v="2"/>
    <x v="2"/>
    <n v="51"/>
    <n v="14178"/>
    <n v="4682"/>
    <x v="4"/>
    <n v="63"/>
    <n v="3"/>
    <n v="3.7"/>
    <n v="0.33022993370009873"/>
    <n v="278"/>
    <n v="8.5"/>
  </r>
  <r>
    <s v="2024-02-29"/>
    <x v="1"/>
    <x v="3"/>
    <x v="0"/>
    <n v="17"/>
    <n v="4709"/>
    <n v="1416"/>
    <x v="5"/>
    <n v="37"/>
    <n v="2"/>
    <n v="4.3"/>
    <n v="0.30070078572945425"/>
    <n v="277"/>
    <n v="3.4"/>
  </r>
  <r>
    <s v="2024-02-29"/>
    <x v="1"/>
    <x v="3"/>
    <x v="1"/>
    <n v="90"/>
    <n v="31500"/>
    <n v="11901"/>
    <x v="7"/>
    <n v="46"/>
    <n v="3"/>
    <n v="4.7"/>
    <n v="0.37780952380952382"/>
    <n v="350"/>
    <n v="11.25"/>
  </r>
  <r>
    <s v="2024-02-29"/>
    <x v="1"/>
    <x v="3"/>
    <x v="2"/>
    <n v="68"/>
    <n v="17476"/>
    <n v="5306"/>
    <x v="3"/>
    <n v="59"/>
    <n v="3"/>
    <n v="4.3"/>
    <n v="0.30361638818951703"/>
    <n v="257"/>
    <n v="17"/>
  </r>
  <r>
    <s v="2024-03-01"/>
    <x v="2"/>
    <x v="4"/>
    <x v="0"/>
    <n v="58"/>
    <n v="15602"/>
    <n v="6058"/>
    <x v="0"/>
    <n v="51"/>
    <n v="2"/>
    <n v="4"/>
    <n v="0.38828355339059095"/>
    <n v="269"/>
    <n v="19.333333333333332"/>
  </r>
  <r>
    <s v="2024-03-01"/>
    <x v="2"/>
    <x v="4"/>
    <x v="1"/>
    <n v="112"/>
    <n v="35392"/>
    <n v="13154"/>
    <x v="1"/>
    <n v="60"/>
    <n v="0"/>
    <n v="4.2"/>
    <n v="0.37166591320072334"/>
    <n v="316"/>
    <n v="11.2"/>
  </r>
  <r>
    <s v="2024-03-01"/>
    <x v="2"/>
    <x v="4"/>
    <x v="2"/>
    <n v="92"/>
    <n v="18584"/>
    <n v="6787"/>
    <x v="4"/>
    <n v="55"/>
    <n v="3"/>
    <n v="3.7"/>
    <n v="0.36520662935858805"/>
    <n v="202"/>
    <n v="15.333333333333334"/>
  </r>
  <r>
    <s v="2024-03-02"/>
    <x v="2"/>
    <x v="5"/>
    <x v="0"/>
    <n v="54"/>
    <n v="11610"/>
    <n v="3466"/>
    <x v="0"/>
    <n v="48"/>
    <n v="0"/>
    <n v="4.5"/>
    <n v="0.29853574504737296"/>
    <n v="215"/>
    <n v="18"/>
  </r>
  <r>
    <s v="2024-03-02"/>
    <x v="2"/>
    <x v="5"/>
    <x v="1"/>
    <n v="95"/>
    <n v="31065"/>
    <n v="9676"/>
    <x v="2"/>
    <n v="51"/>
    <n v="1"/>
    <n v="3.6"/>
    <n v="0.31147593755029779"/>
    <n v="327"/>
    <n v="13.571428571428571"/>
  </r>
  <r>
    <s v="2024-03-02"/>
    <x v="2"/>
    <x v="5"/>
    <x v="2"/>
    <n v="75"/>
    <n v="21375"/>
    <n v="8090"/>
    <x v="4"/>
    <n v="56"/>
    <n v="3"/>
    <n v="3.9"/>
    <n v="0.37847953216374269"/>
    <n v="285"/>
    <n v="12.5"/>
  </r>
  <r>
    <s v="2024-03-03"/>
    <x v="2"/>
    <x v="6"/>
    <x v="0"/>
    <n v="67"/>
    <n v="15611"/>
    <n v="4939"/>
    <x v="3"/>
    <n v="53"/>
    <n v="1"/>
    <n v="4.4000000000000004"/>
    <n v="0.31637947601050542"/>
    <n v="233"/>
    <n v="16.75"/>
  </r>
  <r>
    <s v="2024-03-03"/>
    <x v="2"/>
    <x v="6"/>
    <x v="1"/>
    <n v="188"/>
    <n v="85540"/>
    <n v="26882"/>
    <x v="1"/>
    <n v="46"/>
    <n v="2"/>
    <n v="3.9"/>
    <n v="0.31426233341126958"/>
    <n v="455"/>
    <n v="18.8"/>
  </r>
  <r>
    <s v="2024-03-03"/>
    <x v="2"/>
    <x v="6"/>
    <x v="2"/>
    <n v="59"/>
    <n v="19529"/>
    <n v="6764"/>
    <x v="3"/>
    <n v="40"/>
    <n v="1"/>
    <n v="4.5"/>
    <n v="0.3463567002918736"/>
    <n v="331"/>
    <n v="14.75"/>
  </r>
  <r>
    <s v="2024-03-04"/>
    <x v="2"/>
    <x v="0"/>
    <x v="0"/>
    <n v="28"/>
    <n v="6804"/>
    <n v="2169"/>
    <x v="0"/>
    <n v="38"/>
    <n v="1"/>
    <n v="3.9"/>
    <n v="0.31878306878306878"/>
    <n v="243"/>
    <n v="9.3333333333333339"/>
  </r>
  <r>
    <s v="2024-03-04"/>
    <x v="2"/>
    <x v="0"/>
    <x v="1"/>
    <n v="46"/>
    <n v="17756"/>
    <n v="6509"/>
    <x v="7"/>
    <n v="62"/>
    <n v="1"/>
    <n v="4.8"/>
    <n v="0.36658031088082904"/>
    <n v="386"/>
    <n v="5.75"/>
  </r>
  <r>
    <s v="2024-03-04"/>
    <x v="2"/>
    <x v="0"/>
    <x v="2"/>
    <n v="21"/>
    <n v="6552"/>
    <n v="2054"/>
    <x v="5"/>
    <n v="42"/>
    <n v="1"/>
    <n v="4.4000000000000004"/>
    <n v="0.31349206349206349"/>
    <n v="312"/>
    <n v="4.2"/>
  </r>
  <r>
    <s v="2024-03-05"/>
    <x v="2"/>
    <x v="1"/>
    <x v="0"/>
    <n v="34"/>
    <n v="9044"/>
    <n v="3391"/>
    <x v="3"/>
    <n v="37"/>
    <n v="2"/>
    <n v="4"/>
    <n v="0.37494471472799645"/>
    <n v="266"/>
    <n v="8.5"/>
  </r>
  <r>
    <s v="2024-03-05"/>
    <x v="2"/>
    <x v="1"/>
    <x v="1"/>
    <n v="61"/>
    <n v="24949"/>
    <n v="9180"/>
    <x v="7"/>
    <n v="58"/>
    <n v="3"/>
    <n v="4.2"/>
    <n v="0.36795061926329714"/>
    <n v="409"/>
    <n v="7.625"/>
  </r>
  <r>
    <s v="2024-03-05"/>
    <x v="2"/>
    <x v="1"/>
    <x v="2"/>
    <n v="50"/>
    <n v="11850"/>
    <n v="4685"/>
    <x v="3"/>
    <n v="52"/>
    <n v="3"/>
    <n v="4.5999999999999996"/>
    <n v="0.39535864978902951"/>
    <n v="237"/>
    <n v="12.5"/>
  </r>
  <r>
    <s v="2024-03-06"/>
    <x v="2"/>
    <x v="2"/>
    <x v="0"/>
    <n v="33"/>
    <n v="8679"/>
    <n v="2526"/>
    <x v="3"/>
    <n v="37"/>
    <n v="2"/>
    <n v="4.2"/>
    <n v="0.29104735568613893"/>
    <n v="263"/>
    <n v="8.25"/>
  </r>
  <r>
    <s v="2024-03-06"/>
    <x v="2"/>
    <x v="2"/>
    <x v="1"/>
    <n v="58"/>
    <n v="20938"/>
    <n v="5897"/>
    <x v="4"/>
    <n v="48"/>
    <n v="1"/>
    <n v="4.4000000000000004"/>
    <n v="0.28164103543795971"/>
    <n v="361"/>
    <n v="9.6666666666666661"/>
  </r>
  <r>
    <s v="2024-03-06"/>
    <x v="2"/>
    <x v="2"/>
    <x v="2"/>
    <n v="46"/>
    <n v="13892"/>
    <n v="4539"/>
    <x v="3"/>
    <n v="41"/>
    <n v="0"/>
    <n v="3.7"/>
    <n v="0.32673481140224592"/>
    <n v="302"/>
    <n v="11.5"/>
  </r>
  <r>
    <s v="2024-03-07"/>
    <x v="2"/>
    <x v="3"/>
    <x v="0"/>
    <n v="35"/>
    <n v="8155"/>
    <n v="2615"/>
    <x v="3"/>
    <n v="36"/>
    <n v="2"/>
    <n v="4"/>
    <n v="0.32066217044757817"/>
    <n v="233"/>
    <n v="8.75"/>
  </r>
  <r>
    <s v="2024-03-07"/>
    <x v="2"/>
    <x v="3"/>
    <x v="1"/>
    <n v="107"/>
    <n v="37129"/>
    <n v="14544"/>
    <x v="6"/>
    <n v="50"/>
    <n v="2"/>
    <n v="3.9"/>
    <n v="0.39171537073446633"/>
    <n v="347"/>
    <n v="11.888888888888889"/>
  </r>
  <r>
    <s v="2024-03-07"/>
    <x v="2"/>
    <x v="3"/>
    <x v="2"/>
    <n v="38"/>
    <n v="9196"/>
    <n v="3832"/>
    <x v="2"/>
    <n v="47"/>
    <n v="2"/>
    <n v="3.7"/>
    <n v="0.41670291431056983"/>
    <n v="242"/>
    <n v="5.4285714285714288"/>
  </r>
  <r>
    <s v="2024-03-08"/>
    <x v="2"/>
    <x v="4"/>
    <x v="0"/>
    <n v="57"/>
    <n v="10602"/>
    <n v="3906"/>
    <x v="0"/>
    <n v="41"/>
    <n v="0"/>
    <n v="3.8"/>
    <n v="0.36842105263157893"/>
    <n v="186"/>
    <n v="19"/>
  </r>
  <r>
    <s v="2024-03-08"/>
    <x v="2"/>
    <x v="4"/>
    <x v="1"/>
    <n v="93"/>
    <n v="37014"/>
    <n v="15270"/>
    <x v="7"/>
    <n v="63"/>
    <n v="4"/>
    <n v="3.6"/>
    <n v="0.41254660398768034"/>
    <n v="398"/>
    <n v="11.625"/>
  </r>
  <r>
    <s v="2024-03-08"/>
    <x v="2"/>
    <x v="4"/>
    <x v="2"/>
    <n v="43"/>
    <n v="12040"/>
    <n v="4328"/>
    <x v="4"/>
    <n v="44"/>
    <n v="1"/>
    <n v="3.7"/>
    <n v="0.35946843853820598"/>
    <n v="280"/>
    <n v="7.166666666666667"/>
  </r>
  <r>
    <s v="2024-03-09"/>
    <x v="2"/>
    <x v="5"/>
    <x v="0"/>
    <n v="33"/>
    <n v="9009"/>
    <n v="2852"/>
    <x v="5"/>
    <n v="55"/>
    <n v="0"/>
    <n v="4.3"/>
    <n v="0.31657231657231655"/>
    <n v="273"/>
    <n v="6.6"/>
  </r>
  <r>
    <s v="2024-03-09"/>
    <x v="2"/>
    <x v="5"/>
    <x v="1"/>
    <n v="117"/>
    <n v="46566"/>
    <n v="14961"/>
    <x v="7"/>
    <n v="72"/>
    <n v="1"/>
    <n v="4.2"/>
    <n v="0.3212859167633037"/>
    <n v="398"/>
    <n v="14.625"/>
  </r>
  <r>
    <s v="2024-03-09"/>
    <x v="2"/>
    <x v="5"/>
    <x v="2"/>
    <n v="107"/>
    <n v="35738"/>
    <n v="10865"/>
    <x v="4"/>
    <n v="43"/>
    <n v="2"/>
    <n v="3.8"/>
    <n v="0.3040181319603783"/>
    <n v="334"/>
    <n v="17.833333333333332"/>
  </r>
  <r>
    <s v="2024-03-10"/>
    <x v="2"/>
    <x v="6"/>
    <x v="0"/>
    <n v="49"/>
    <n v="13377"/>
    <n v="4866"/>
    <x v="3"/>
    <n v="44"/>
    <n v="2"/>
    <n v="4.0999999999999996"/>
    <n v="0.36375869028930252"/>
    <n v="273"/>
    <n v="12.25"/>
  </r>
  <r>
    <s v="2024-03-10"/>
    <x v="2"/>
    <x v="6"/>
    <x v="1"/>
    <n v="171"/>
    <n v="64809"/>
    <n v="26854"/>
    <x v="7"/>
    <n v="54"/>
    <n v="1"/>
    <n v="3.6"/>
    <n v="0.41435603079819161"/>
    <n v="379"/>
    <n v="21.375"/>
  </r>
  <r>
    <s v="2024-03-10"/>
    <x v="2"/>
    <x v="6"/>
    <x v="2"/>
    <n v="65"/>
    <n v="17095"/>
    <n v="4874"/>
    <x v="3"/>
    <n v="61"/>
    <n v="2"/>
    <n v="3.7"/>
    <n v="0.28511260602515354"/>
    <n v="263"/>
    <n v="16.25"/>
  </r>
  <r>
    <s v="2024-03-11"/>
    <x v="2"/>
    <x v="0"/>
    <x v="0"/>
    <n v="28"/>
    <n v="5236"/>
    <n v="2124"/>
    <x v="5"/>
    <n v="51"/>
    <n v="1"/>
    <n v="4.0999999999999996"/>
    <n v="0.40565317035905274"/>
    <n v="187"/>
    <n v="5.6"/>
  </r>
  <r>
    <s v="2024-03-11"/>
    <x v="2"/>
    <x v="0"/>
    <x v="1"/>
    <n v="86"/>
    <n v="30530"/>
    <n v="11209"/>
    <x v="4"/>
    <n v="59"/>
    <n v="0"/>
    <n v="4.2"/>
    <n v="0.36714706845725514"/>
    <n v="355"/>
    <n v="14.333333333333334"/>
  </r>
  <r>
    <s v="2024-03-11"/>
    <x v="2"/>
    <x v="0"/>
    <x v="2"/>
    <n v="47"/>
    <n v="10622"/>
    <n v="4216"/>
    <x v="3"/>
    <n v="43"/>
    <n v="3"/>
    <n v="4.3"/>
    <n v="0.39691206929015249"/>
    <n v="226"/>
    <n v="11.75"/>
  </r>
  <r>
    <s v="2024-03-12"/>
    <x v="2"/>
    <x v="1"/>
    <x v="0"/>
    <n v="15"/>
    <n v="3810"/>
    <n v="1123"/>
    <x v="0"/>
    <n v="55"/>
    <n v="0"/>
    <n v="3.9"/>
    <n v="0.29475065616797902"/>
    <n v="254"/>
    <n v="5"/>
  </r>
  <r>
    <s v="2024-03-12"/>
    <x v="2"/>
    <x v="1"/>
    <x v="1"/>
    <n v="48"/>
    <n v="19584"/>
    <n v="5915"/>
    <x v="6"/>
    <n v="63"/>
    <n v="1"/>
    <n v="4.0999999999999996"/>
    <n v="0.30203227124183007"/>
    <n v="408"/>
    <n v="5.333333333333333"/>
  </r>
  <r>
    <s v="2024-03-12"/>
    <x v="2"/>
    <x v="1"/>
    <x v="2"/>
    <n v="31"/>
    <n v="8339"/>
    <n v="2819"/>
    <x v="5"/>
    <n v="45"/>
    <n v="2"/>
    <n v="4.5999999999999996"/>
    <n v="0.33805012591437822"/>
    <n v="269"/>
    <n v="6.2"/>
  </r>
  <r>
    <s v="2024-03-13"/>
    <x v="2"/>
    <x v="2"/>
    <x v="0"/>
    <n v="20"/>
    <n v="4840"/>
    <n v="1375"/>
    <x v="5"/>
    <n v="54"/>
    <n v="2"/>
    <n v="4"/>
    <n v="0.28409090909090912"/>
    <n v="242"/>
    <n v="4"/>
  </r>
  <r>
    <s v="2024-03-13"/>
    <x v="2"/>
    <x v="2"/>
    <x v="1"/>
    <n v="62"/>
    <n v="24366"/>
    <n v="7831"/>
    <x v="6"/>
    <n v="65"/>
    <n v="0"/>
    <n v="4.4000000000000004"/>
    <n v="0.32139046211934663"/>
    <n v="393"/>
    <n v="6.8888888888888893"/>
  </r>
  <r>
    <s v="2024-03-13"/>
    <x v="2"/>
    <x v="2"/>
    <x v="2"/>
    <n v="25"/>
    <n v="8250"/>
    <n v="3250"/>
    <x v="5"/>
    <n v="57"/>
    <n v="0"/>
    <n v="4.0999999999999996"/>
    <n v="0.39393939393939392"/>
    <n v="330"/>
    <n v="5"/>
  </r>
  <r>
    <s v="2024-03-14"/>
    <x v="2"/>
    <x v="3"/>
    <x v="0"/>
    <n v="33"/>
    <n v="6798"/>
    <n v="2009"/>
    <x v="3"/>
    <n v="53"/>
    <n v="0"/>
    <n v="4.2"/>
    <n v="0.29552809649897027"/>
    <n v="206"/>
    <n v="8.25"/>
  </r>
  <r>
    <s v="2024-03-14"/>
    <x v="2"/>
    <x v="3"/>
    <x v="1"/>
    <n v="90"/>
    <n v="40950"/>
    <n v="14834"/>
    <x v="4"/>
    <n v="53"/>
    <n v="3"/>
    <n v="4.5999999999999996"/>
    <n v="0.36224664224664227"/>
    <n v="455"/>
    <n v="15"/>
  </r>
  <r>
    <s v="2024-03-14"/>
    <x v="2"/>
    <x v="3"/>
    <x v="2"/>
    <n v="39"/>
    <n v="12558"/>
    <n v="4225"/>
    <x v="3"/>
    <n v="61"/>
    <n v="1"/>
    <n v="4.2"/>
    <n v="0.33643892339544512"/>
    <n v="322"/>
    <n v="9.75"/>
  </r>
  <r>
    <s v="2024-03-15"/>
    <x v="2"/>
    <x v="4"/>
    <x v="0"/>
    <n v="68"/>
    <n v="13464"/>
    <n v="4830"/>
    <x v="0"/>
    <n v="53"/>
    <n v="2"/>
    <n v="4.2"/>
    <n v="0.35873440285204994"/>
    <n v="198"/>
    <n v="22.666666666666668"/>
  </r>
  <r>
    <s v="2024-03-15"/>
    <x v="2"/>
    <x v="4"/>
    <x v="1"/>
    <n v="124"/>
    <n v="47120"/>
    <n v="16791"/>
    <x v="1"/>
    <n v="60"/>
    <n v="0"/>
    <n v="3.9"/>
    <n v="0.35634550084889643"/>
    <n v="380"/>
    <n v="12.4"/>
  </r>
  <r>
    <s v="2024-03-15"/>
    <x v="2"/>
    <x v="4"/>
    <x v="2"/>
    <n v="50"/>
    <n v="10650"/>
    <n v="3381"/>
    <x v="5"/>
    <n v="53"/>
    <n v="0"/>
    <n v="3.8"/>
    <n v="0.31746478873239437"/>
    <n v="213"/>
    <n v="10"/>
  </r>
  <r>
    <s v="2024-03-16"/>
    <x v="2"/>
    <x v="5"/>
    <x v="0"/>
    <n v="82"/>
    <n v="19844"/>
    <n v="8110"/>
    <x v="5"/>
    <n v="50"/>
    <n v="0"/>
    <n v="3.9"/>
    <n v="0.40868776456359607"/>
    <n v="242"/>
    <n v="16.399999999999999"/>
  </r>
  <r>
    <s v="2024-03-16"/>
    <x v="2"/>
    <x v="5"/>
    <x v="1"/>
    <n v="147"/>
    <n v="49392"/>
    <n v="18518"/>
    <x v="4"/>
    <n v="62"/>
    <n v="3"/>
    <n v="4.5"/>
    <n v="0.37491901522513765"/>
    <n v="336"/>
    <n v="24.5"/>
  </r>
  <r>
    <s v="2024-03-16"/>
    <x v="2"/>
    <x v="5"/>
    <x v="2"/>
    <n v="81"/>
    <n v="21789"/>
    <n v="8936"/>
    <x v="5"/>
    <n v="47"/>
    <n v="3"/>
    <n v="4.3"/>
    <n v="0.41011519574097022"/>
    <n v="269"/>
    <n v="16.2"/>
  </r>
  <r>
    <s v="2024-03-17"/>
    <x v="2"/>
    <x v="6"/>
    <x v="0"/>
    <n v="45"/>
    <n v="8370"/>
    <n v="2528"/>
    <x v="0"/>
    <n v="53"/>
    <n v="2"/>
    <n v="4.4000000000000004"/>
    <n v="0.30203106332138591"/>
    <n v="186"/>
    <n v="15"/>
  </r>
  <r>
    <s v="2024-03-17"/>
    <x v="2"/>
    <x v="6"/>
    <x v="1"/>
    <n v="113"/>
    <n v="39098"/>
    <n v="11723"/>
    <x v="7"/>
    <n v="52"/>
    <n v="0"/>
    <n v="4"/>
    <n v="0.29983630876259654"/>
    <n v="346"/>
    <n v="14.125"/>
  </r>
  <r>
    <s v="2024-03-17"/>
    <x v="2"/>
    <x v="6"/>
    <x v="2"/>
    <n v="97"/>
    <n v="21825"/>
    <n v="8266"/>
    <x v="3"/>
    <n v="61"/>
    <n v="2"/>
    <n v="3.8"/>
    <n v="0.37873997709049256"/>
    <n v="225"/>
    <n v="24.25"/>
  </r>
  <r>
    <s v="2024-03-18"/>
    <x v="2"/>
    <x v="0"/>
    <x v="0"/>
    <n v="16"/>
    <n v="3120"/>
    <n v="1186"/>
    <x v="5"/>
    <n v="50"/>
    <n v="2"/>
    <n v="4.4000000000000004"/>
    <n v="0.38012820512820511"/>
    <n v="195"/>
    <n v="3.2"/>
  </r>
  <r>
    <s v="2024-03-18"/>
    <x v="2"/>
    <x v="0"/>
    <x v="1"/>
    <n v="56"/>
    <n v="17920"/>
    <n v="6141"/>
    <x v="2"/>
    <n v="60"/>
    <n v="4"/>
    <n v="3.9"/>
    <n v="0.34268973214285714"/>
    <n v="320"/>
    <n v="8"/>
  </r>
  <r>
    <s v="2024-03-18"/>
    <x v="2"/>
    <x v="0"/>
    <x v="2"/>
    <n v="29"/>
    <n v="7656"/>
    <n v="3156"/>
    <x v="4"/>
    <n v="49"/>
    <n v="2"/>
    <n v="4.4000000000000004"/>
    <n v="0.41222570532915359"/>
    <n v="264"/>
    <n v="4.833333333333333"/>
  </r>
  <r>
    <s v="2024-03-19"/>
    <x v="2"/>
    <x v="1"/>
    <x v="0"/>
    <n v="33"/>
    <n v="8580"/>
    <n v="3274"/>
    <x v="0"/>
    <n v="46"/>
    <n v="0"/>
    <n v="4.4000000000000004"/>
    <n v="0.38158508158508159"/>
    <n v="260"/>
    <n v="11"/>
  </r>
  <r>
    <s v="2024-03-19"/>
    <x v="2"/>
    <x v="1"/>
    <x v="1"/>
    <n v="60"/>
    <n v="27960"/>
    <n v="9950"/>
    <x v="4"/>
    <n v="68"/>
    <n v="0"/>
    <n v="4.3"/>
    <n v="0.35586552217453504"/>
    <n v="466"/>
    <n v="10"/>
  </r>
  <r>
    <s v="2024-03-19"/>
    <x v="2"/>
    <x v="1"/>
    <x v="2"/>
    <n v="36"/>
    <n v="11664"/>
    <n v="4484"/>
    <x v="5"/>
    <n v="60"/>
    <n v="3"/>
    <n v="4.5"/>
    <n v="0.3844307270233196"/>
    <n v="324"/>
    <n v="7.2"/>
  </r>
  <r>
    <s v="2024-03-20"/>
    <x v="2"/>
    <x v="2"/>
    <x v="0"/>
    <n v="42"/>
    <n v="9534"/>
    <n v="3017"/>
    <x v="0"/>
    <n v="35"/>
    <n v="0"/>
    <n v="4.3"/>
    <n v="0.31644640234948607"/>
    <n v="227"/>
    <n v="14"/>
  </r>
  <r>
    <s v="2024-03-20"/>
    <x v="2"/>
    <x v="2"/>
    <x v="1"/>
    <n v="66"/>
    <n v="20130"/>
    <n v="6179"/>
    <x v="7"/>
    <n v="66"/>
    <n v="3"/>
    <n v="4.5999999999999996"/>
    <n v="0.30695479384003976"/>
    <n v="305"/>
    <n v="8.25"/>
  </r>
  <r>
    <s v="2024-03-20"/>
    <x v="2"/>
    <x v="2"/>
    <x v="2"/>
    <n v="52"/>
    <n v="17524"/>
    <n v="6572"/>
    <x v="5"/>
    <n v="51"/>
    <n v="2"/>
    <n v="4.5"/>
    <n v="0.37502853229856198"/>
    <n v="337"/>
    <n v="10.4"/>
  </r>
  <r>
    <s v="2024-03-21"/>
    <x v="2"/>
    <x v="3"/>
    <x v="0"/>
    <n v="39"/>
    <n v="8697"/>
    <n v="3095"/>
    <x v="3"/>
    <n v="50"/>
    <n v="1"/>
    <n v="3.9"/>
    <n v="0.35586984017477291"/>
    <n v="223"/>
    <n v="9.75"/>
  </r>
  <r>
    <s v="2024-03-21"/>
    <x v="2"/>
    <x v="3"/>
    <x v="1"/>
    <n v="72"/>
    <n v="20520"/>
    <n v="8482"/>
    <x v="6"/>
    <n v="58"/>
    <n v="4"/>
    <n v="4.2"/>
    <n v="0.41335282651072125"/>
    <n v="285"/>
    <n v="8"/>
  </r>
  <r>
    <s v="2024-03-21"/>
    <x v="2"/>
    <x v="3"/>
    <x v="2"/>
    <n v="51"/>
    <n v="13719"/>
    <n v="5692"/>
    <x v="4"/>
    <n v="57"/>
    <n v="3"/>
    <n v="4.5"/>
    <n v="0.41489904511990672"/>
    <n v="269"/>
    <n v="8.5"/>
  </r>
  <r>
    <s v="2024-03-22"/>
    <x v="2"/>
    <x v="4"/>
    <x v="0"/>
    <n v="45"/>
    <n v="9675"/>
    <n v="3342"/>
    <x v="5"/>
    <n v="49"/>
    <n v="1"/>
    <n v="3.9"/>
    <n v="0.34542635658914728"/>
    <n v="215"/>
    <n v="9"/>
  </r>
  <r>
    <s v="2024-03-22"/>
    <x v="2"/>
    <x v="4"/>
    <x v="1"/>
    <n v="136"/>
    <n v="43248"/>
    <n v="13378"/>
    <x v="7"/>
    <n v="61"/>
    <n v="4"/>
    <n v="4.7"/>
    <n v="0.30933222345541989"/>
    <n v="318"/>
    <n v="17"/>
  </r>
  <r>
    <s v="2024-03-22"/>
    <x v="2"/>
    <x v="4"/>
    <x v="2"/>
    <n v="52"/>
    <n v="12376"/>
    <n v="5099"/>
    <x v="3"/>
    <n v="50"/>
    <n v="1"/>
    <n v="3.9"/>
    <n v="0.41200711053652228"/>
    <n v="238"/>
    <n v="13"/>
  </r>
  <r>
    <s v="2024-03-23"/>
    <x v="2"/>
    <x v="5"/>
    <x v="0"/>
    <n v="51"/>
    <n v="9180"/>
    <n v="2835"/>
    <x v="5"/>
    <n v="46"/>
    <n v="2"/>
    <n v="4.2"/>
    <n v="0.30882352941176472"/>
    <n v="180"/>
    <n v="10.199999999999999"/>
  </r>
  <r>
    <s v="2024-03-23"/>
    <x v="2"/>
    <x v="5"/>
    <x v="1"/>
    <n v="155"/>
    <n v="44795"/>
    <n v="17036"/>
    <x v="4"/>
    <n v="68"/>
    <n v="1"/>
    <n v="3.9"/>
    <n v="0.38031030248911707"/>
    <n v="289"/>
    <n v="25.833333333333332"/>
  </r>
  <r>
    <s v="2024-03-23"/>
    <x v="2"/>
    <x v="5"/>
    <x v="2"/>
    <n v="49"/>
    <n v="15533"/>
    <n v="5136"/>
    <x v="3"/>
    <n v="52"/>
    <n v="3"/>
    <n v="3.8"/>
    <n v="0.33065087233631624"/>
    <n v="317"/>
    <n v="12.25"/>
  </r>
  <r>
    <s v="2024-03-24"/>
    <x v="2"/>
    <x v="6"/>
    <x v="0"/>
    <n v="33"/>
    <n v="6072"/>
    <n v="2095"/>
    <x v="0"/>
    <n v="46"/>
    <n v="0"/>
    <n v="4.5"/>
    <n v="0.34502635046113306"/>
    <n v="184"/>
    <n v="11"/>
  </r>
  <r>
    <s v="2024-03-24"/>
    <x v="2"/>
    <x v="6"/>
    <x v="1"/>
    <n v="167"/>
    <n v="70140"/>
    <n v="20695"/>
    <x v="1"/>
    <n v="67"/>
    <n v="3"/>
    <n v="4.3"/>
    <n v="0.295052751639578"/>
    <n v="420"/>
    <n v="16.7"/>
  </r>
  <r>
    <s v="2024-03-24"/>
    <x v="2"/>
    <x v="6"/>
    <x v="2"/>
    <n v="84"/>
    <n v="22344"/>
    <n v="7649"/>
    <x v="4"/>
    <n v="59"/>
    <n v="0"/>
    <n v="4.5"/>
    <n v="0.34232903687790905"/>
    <n v="266"/>
    <n v="14"/>
  </r>
  <r>
    <s v="2024-03-25"/>
    <x v="2"/>
    <x v="0"/>
    <x v="0"/>
    <n v="34"/>
    <n v="8092"/>
    <n v="2543"/>
    <x v="3"/>
    <n v="41"/>
    <n v="2"/>
    <n v="4.5"/>
    <n v="0.31426099851705386"/>
    <n v="238"/>
    <n v="8.5"/>
  </r>
  <r>
    <s v="2024-03-25"/>
    <x v="2"/>
    <x v="0"/>
    <x v="1"/>
    <n v="74"/>
    <n v="34484"/>
    <n v="11712"/>
    <x v="1"/>
    <n v="55"/>
    <n v="2"/>
    <n v="3.8"/>
    <n v="0.33963577311216797"/>
    <n v="466"/>
    <n v="7.4"/>
  </r>
  <r>
    <s v="2024-03-25"/>
    <x v="2"/>
    <x v="0"/>
    <x v="2"/>
    <n v="46"/>
    <n v="12558"/>
    <n v="4495"/>
    <x v="3"/>
    <n v="60"/>
    <n v="0"/>
    <n v="4.4000000000000004"/>
    <n v="0.35793916228698835"/>
    <n v="273"/>
    <n v="11.5"/>
  </r>
  <r>
    <s v="2024-03-26"/>
    <x v="2"/>
    <x v="1"/>
    <x v="0"/>
    <n v="30"/>
    <n v="6690"/>
    <n v="2794"/>
    <x v="3"/>
    <n v="51"/>
    <n v="0"/>
    <n v="4.3"/>
    <n v="0.41763826606875937"/>
    <n v="223"/>
    <n v="7.5"/>
  </r>
  <r>
    <s v="2024-03-26"/>
    <x v="2"/>
    <x v="1"/>
    <x v="1"/>
    <n v="98"/>
    <n v="39788"/>
    <n v="12292"/>
    <x v="2"/>
    <n v="75"/>
    <n v="4"/>
    <n v="4.3"/>
    <n v="0.30893736805066857"/>
    <n v="406"/>
    <n v="14"/>
  </r>
  <r>
    <s v="2024-03-26"/>
    <x v="2"/>
    <x v="1"/>
    <x v="2"/>
    <n v="43"/>
    <n v="14663"/>
    <n v="4547"/>
    <x v="4"/>
    <n v="65"/>
    <n v="1"/>
    <n v="4.3"/>
    <n v="0.31010025233581123"/>
    <n v="341"/>
    <n v="7.166666666666667"/>
  </r>
  <r>
    <s v="2024-03-27"/>
    <x v="2"/>
    <x v="2"/>
    <x v="0"/>
    <n v="16"/>
    <n v="3136"/>
    <n v="1119"/>
    <x v="5"/>
    <n v="39"/>
    <n v="2"/>
    <n v="4.0999999999999996"/>
    <n v="0.35682397959183676"/>
    <n v="196"/>
    <n v="3.2"/>
  </r>
  <r>
    <s v="2024-03-27"/>
    <x v="2"/>
    <x v="2"/>
    <x v="1"/>
    <n v="87"/>
    <n v="32364"/>
    <n v="9840"/>
    <x v="4"/>
    <n v="66"/>
    <n v="3"/>
    <n v="4.5999999999999996"/>
    <n v="0.30404152762328512"/>
    <n v="372"/>
    <n v="14.5"/>
  </r>
  <r>
    <s v="2024-03-27"/>
    <x v="2"/>
    <x v="2"/>
    <x v="2"/>
    <n v="46"/>
    <n v="10304"/>
    <n v="3574"/>
    <x v="4"/>
    <n v="58"/>
    <n v="3"/>
    <n v="3.7"/>
    <n v="0.34685559006211181"/>
    <n v="224"/>
    <n v="7.666666666666667"/>
  </r>
  <r>
    <s v="2024-03-28"/>
    <x v="2"/>
    <x v="3"/>
    <x v="0"/>
    <n v="39"/>
    <n v="7137"/>
    <n v="2000"/>
    <x v="3"/>
    <n v="45"/>
    <n v="2"/>
    <n v="4.0999999999999996"/>
    <n v="0.28022978842650975"/>
    <n v="183"/>
    <n v="9.75"/>
  </r>
  <r>
    <s v="2024-03-28"/>
    <x v="2"/>
    <x v="3"/>
    <x v="1"/>
    <n v="96"/>
    <n v="44352"/>
    <n v="13248"/>
    <x v="7"/>
    <n v="72"/>
    <n v="2"/>
    <n v="3.9"/>
    <n v="0.29870129870129869"/>
    <n v="462"/>
    <n v="12"/>
  </r>
  <r>
    <s v="2024-03-28"/>
    <x v="2"/>
    <x v="3"/>
    <x v="2"/>
    <n v="60"/>
    <n v="16200"/>
    <n v="6456"/>
    <x v="3"/>
    <n v="55"/>
    <n v="3"/>
    <n v="4.5999999999999996"/>
    <n v="0.39851851851851849"/>
    <n v="270"/>
    <n v="15"/>
  </r>
  <r>
    <s v="2024-03-29"/>
    <x v="2"/>
    <x v="4"/>
    <x v="0"/>
    <n v="58"/>
    <n v="14442"/>
    <n v="4642"/>
    <x v="0"/>
    <n v="53"/>
    <n v="0"/>
    <n v="4.4000000000000004"/>
    <n v="0.32142362553662929"/>
    <n v="249"/>
    <n v="19.333333333333332"/>
  </r>
  <r>
    <s v="2024-03-29"/>
    <x v="2"/>
    <x v="4"/>
    <x v="1"/>
    <n v="160"/>
    <n v="67360"/>
    <n v="20728"/>
    <x v="7"/>
    <n v="48"/>
    <n v="3"/>
    <n v="4.3"/>
    <n v="0.30771971496437056"/>
    <n v="421"/>
    <n v="20"/>
  </r>
  <r>
    <s v="2024-03-29"/>
    <x v="2"/>
    <x v="4"/>
    <x v="2"/>
    <n v="60"/>
    <n v="20580"/>
    <n v="8195"/>
    <x v="3"/>
    <n v="50"/>
    <n v="3"/>
    <n v="4"/>
    <n v="0.39820213799805637"/>
    <n v="343"/>
    <n v="15"/>
  </r>
  <r>
    <s v="2024-03-30"/>
    <x v="2"/>
    <x v="5"/>
    <x v="0"/>
    <n v="40"/>
    <n v="8840"/>
    <n v="2616"/>
    <x v="3"/>
    <n v="51"/>
    <n v="0"/>
    <n v="4.0999999999999996"/>
    <n v="0.29592760180995475"/>
    <n v="221"/>
    <n v="10"/>
  </r>
  <r>
    <s v="2024-03-30"/>
    <x v="2"/>
    <x v="5"/>
    <x v="1"/>
    <n v="187"/>
    <n v="57783"/>
    <n v="19058"/>
    <x v="7"/>
    <n v="74"/>
    <n v="3"/>
    <n v="4.0999999999999996"/>
    <n v="0.32982018932904139"/>
    <n v="309"/>
    <n v="23.375"/>
  </r>
  <r>
    <s v="2024-03-30"/>
    <x v="2"/>
    <x v="5"/>
    <x v="2"/>
    <n v="58"/>
    <n v="17632"/>
    <n v="6385"/>
    <x v="4"/>
    <n v="55"/>
    <n v="1"/>
    <n v="4.4000000000000004"/>
    <n v="0.36212568058076228"/>
    <n v="304"/>
    <n v="9.6666666666666661"/>
  </r>
  <r>
    <s v="2024-03-31"/>
    <x v="2"/>
    <x v="6"/>
    <x v="0"/>
    <n v="48"/>
    <n v="10224"/>
    <n v="3412"/>
    <x v="3"/>
    <n v="41"/>
    <n v="0"/>
    <n v="4.0999999999999996"/>
    <n v="0.33372456964006258"/>
    <n v="213"/>
    <n v="12"/>
  </r>
  <r>
    <s v="2024-03-31"/>
    <x v="2"/>
    <x v="6"/>
    <x v="1"/>
    <n v="149"/>
    <n v="71073"/>
    <n v="22535"/>
    <x v="4"/>
    <n v="64"/>
    <n v="3"/>
    <n v="3.5"/>
    <n v="0.31706836632757868"/>
    <n v="477"/>
    <n v="24.833333333333332"/>
  </r>
  <r>
    <s v="2024-03-31"/>
    <x v="2"/>
    <x v="6"/>
    <x v="2"/>
    <n v="91"/>
    <n v="25116"/>
    <n v="10492"/>
    <x v="5"/>
    <n v="44"/>
    <n v="3"/>
    <n v="4.2"/>
    <n v="0.41774167861124384"/>
    <n v="276"/>
    <n v="18.2"/>
  </r>
  <r>
    <s v="2024-04-01"/>
    <x v="3"/>
    <x v="0"/>
    <x v="0"/>
    <n v="22"/>
    <n v="5522"/>
    <n v="2156"/>
    <x v="3"/>
    <n v="44"/>
    <n v="0"/>
    <n v="3.9"/>
    <n v="0.39043824701195218"/>
    <n v="251"/>
    <n v="5.5"/>
  </r>
  <r>
    <s v="2024-04-01"/>
    <x v="3"/>
    <x v="0"/>
    <x v="1"/>
    <n v="81"/>
    <n v="31266"/>
    <n v="9502"/>
    <x v="2"/>
    <n v="74"/>
    <n v="3"/>
    <n v="3.6"/>
    <n v="0.30390839889976334"/>
    <n v="386"/>
    <n v="11.571428571428571"/>
  </r>
  <r>
    <s v="2024-04-01"/>
    <x v="3"/>
    <x v="0"/>
    <x v="2"/>
    <n v="39"/>
    <n v="7839"/>
    <n v="2565"/>
    <x v="4"/>
    <n v="63"/>
    <n v="0"/>
    <n v="4.5"/>
    <n v="0.32721010332950634"/>
    <n v="201"/>
    <n v="6.5"/>
  </r>
  <r>
    <s v="2024-04-02"/>
    <x v="3"/>
    <x v="1"/>
    <x v="0"/>
    <n v="27"/>
    <n v="6723"/>
    <n v="1954"/>
    <x v="5"/>
    <n v="36"/>
    <n v="0"/>
    <n v="4.3"/>
    <n v="0.29064405771233082"/>
    <n v="249"/>
    <n v="5.4"/>
  </r>
  <r>
    <s v="2024-04-02"/>
    <x v="3"/>
    <x v="1"/>
    <x v="1"/>
    <n v="47"/>
    <n v="13254"/>
    <n v="4835"/>
    <x v="1"/>
    <n v="45"/>
    <n v="3"/>
    <n v="3.7"/>
    <n v="0.36479553342387205"/>
    <n v="282"/>
    <n v="4.7"/>
  </r>
  <r>
    <s v="2024-04-02"/>
    <x v="3"/>
    <x v="1"/>
    <x v="2"/>
    <n v="30"/>
    <n v="8040"/>
    <n v="2943"/>
    <x v="2"/>
    <n v="47"/>
    <n v="0"/>
    <n v="4.0999999999999996"/>
    <n v="0.366044776119403"/>
    <n v="268"/>
    <n v="4.2857142857142856"/>
  </r>
  <r>
    <s v="2024-04-03"/>
    <x v="3"/>
    <x v="2"/>
    <x v="0"/>
    <n v="32"/>
    <n v="8832"/>
    <n v="2927"/>
    <x v="3"/>
    <n v="51"/>
    <n v="0"/>
    <n v="4.0999999999999996"/>
    <n v="0.3314085144927536"/>
    <n v="276"/>
    <n v="8"/>
  </r>
  <r>
    <s v="2024-04-03"/>
    <x v="3"/>
    <x v="2"/>
    <x v="1"/>
    <n v="97"/>
    <n v="43068"/>
    <n v="14788"/>
    <x v="6"/>
    <n v="57"/>
    <n v="0"/>
    <n v="3.6"/>
    <n v="0.34336398253924028"/>
    <n v="444"/>
    <n v="10.777777777777779"/>
  </r>
  <r>
    <s v="2024-04-03"/>
    <x v="3"/>
    <x v="2"/>
    <x v="2"/>
    <n v="37"/>
    <n v="11137"/>
    <n v="3666"/>
    <x v="2"/>
    <n v="49"/>
    <n v="0"/>
    <n v="4.4000000000000004"/>
    <n v="0.32917302684744543"/>
    <n v="301"/>
    <n v="5.2857142857142856"/>
  </r>
  <r>
    <s v="2024-04-04"/>
    <x v="3"/>
    <x v="3"/>
    <x v="0"/>
    <n v="37"/>
    <n v="8214"/>
    <n v="2681"/>
    <x v="5"/>
    <n v="50"/>
    <n v="2"/>
    <n v="4.4000000000000004"/>
    <n v="0.32639396152909667"/>
    <n v="222"/>
    <n v="7.4"/>
  </r>
  <r>
    <s v="2024-04-04"/>
    <x v="3"/>
    <x v="3"/>
    <x v="1"/>
    <n v="67"/>
    <n v="28810"/>
    <n v="11084"/>
    <x v="7"/>
    <n v="56"/>
    <n v="0"/>
    <n v="4.4000000000000004"/>
    <n v="0.3847275251648733"/>
    <n v="430"/>
    <n v="8.375"/>
  </r>
  <r>
    <s v="2024-04-04"/>
    <x v="3"/>
    <x v="3"/>
    <x v="2"/>
    <n v="36"/>
    <n v="8496"/>
    <n v="3394"/>
    <x v="3"/>
    <n v="63"/>
    <n v="3"/>
    <n v="3.9"/>
    <n v="0.39948210922787192"/>
    <n v="236"/>
    <n v="9"/>
  </r>
  <r>
    <s v="2024-04-05"/>
    <x v="3"/>
    <x v="4"/>
    <x v="0"/>
    <n v="56"/>
    <n v="15232"/>
    <n v="6246"/>
    <x v="0"/>
    <n v="37"/>
    <n v="0"/>
    <n v="3.9"/>
    <n v="0.41005777310924368"/>
    <n v="272"/>
    <n v="18.666666666666668"/>
  </r>
  <r>
    <s v="2024-04-05"/>
    <x v="3"/>
    <x v="4"/>
    <x v="1"/>
    <n v="165"/>
    <n v="74910"/>
    <n v="25117"/>
    <x v="7"/>
    <n v="60"/>
    <n v="2"/>
    <n v="4.5999999999999996"/>
    <n v="0.33529568815912431"/>
    <n v="454"/>
    <n v="20.625"/>
  </r>
  <r>
    <s v="2024-04-05"/>
    <x v="3"/>
    <x v="4"/>
    <x v="2"/>
    <n v="75"/>
    <n v="25800"/>
    <n v="10194"/>
    <x v="3"/>
    <n v="40"/>
    <n v="0"/>
    <n v="4.0999999999999996"/>
    <n v="0.39511627906976743"/>
    <n v="344"/>
    <n v="18.75"/>
  </r>
  <r>
    <s v="2024-04-06"/>
    <x v="3"/>
    <x v="5"/>
    <x v="0"/>
    <n v="35"/>
    <n v="9030"/>
    <n v="2797"/>
    <x v="5"/>
    <n v="39"/>
    <n v="1"/>
    <n v="4.0999999999999996"/>
    <n v="0.3097452934662237"/>
    <n v="258"/>
    <n v="7"/>
  </r>
  <r>
    <s v="2024-04-06"/>
    <x v="3"/>
    <x v="5"/>
    <x v="1"/>
    <n v="103"/>
    <n v="30076"/>
    <n v="9945"/>
    <x v="7"/>
    <n v="57"/>
    <n v="0"/>
    <n v="4.2"/>
    <n v="0.33066232211730284"/>
    <n v="292"/>
    <n v="12.875"/>
  </r>
  <r>
    <s v="2024-04-06"/>
    <x v="3"/>
    <x v="5"/>
    <x v="2"/>
    <n v="99"/>
    <n v="25146"/>
    <n v="7314"/>
    <x v="2"/>
    <n v="56"/>
    <n v="1"/>
    <n v="4.3"/>
    <n v="0.29086136960152709"/>
    <n v="254"/>
    <n v="14.142857142857142"/>
  </r>
  <r>
    <s v="2024-04-07"/>
    <x v="3"/>
    <x v="6"/>
    <x v="0"/>
    <n v="32"/>
    <n v="7360"/>
    <n v="2974"/>
    <x v="3"/>
    <n v="35"/>
    <n v="2"/>
    <n v="4.2"/>
    <n v="0.40407608695652175"/>
    <n v="230"/>
    <n v="8"/>
  </r>
  <r>
    <s v="2024-04-07"/>
    <x v="3"/>
    <x v="6"/>
    <x v="1"/>
    <n v="107"/>
    <n v="35417"/>
    <n v="11261"/>
    <x v="7"/>
    <n v="50"/>
    <n v="4"/>
    <n v="4.5"/>
    <n v="0.31795465454442784"/>
    <n v="331"/>
    <n v="13.375"/>
  </r>
  <r>
    <s v="2024-04-07"/>
    <x v="3"/>
    <x v="6"/>
    <x v="2"/>
    <n v="52"/>
    <n v="15756"/>
    <n v="5628"/>
    <x v="2"/>
    <n v="57"/>
    <n v="2"/>
    <n v="4"/>
    <n v="0.3571972581873572"/>
    <n v="303"/>
    <n v="7.4285714285714288"/>
  </r>
  <r>
    <s v="2024-04-08"/>
    <x v="3"/>
    <x v="0"/>
    <x v="0"/>
    <n v="20"/>
    <n v="4860"/>
    <n v="1494"/>
    <x v="0"/>
    <n v="37"/>
    <n v="1"/>
    <n v="4.2"/>
    <n v="0.30740740740740741"/>
    <n v="243"/>
    <n v="6.666666666666667"/>
  </r>
  <r>
    <s v="2024-04-08"/>
    <x v="3"/>
    <x v="0"/>
    <x v="1"/>
    <n v="103"/>
    <n v="31106"/>
    <n v="9556"/>
    <x v="2"/>
    <n v="75"/>
    <n v="3"/>
    <n v="3.6"/>
    <n v="0.30720761267922586"/>
    <n v="302"/>
    <n v="14.714285714285714"/>
  </r>
  <r>
    <s v="2024-04-08"/>
    <x v="3"/>
    <x v="0"/>
    <x v="2"/>
    <n v="31"/>
    <n v="7595"/>
    <n v="2148"/>
    <x v="2"/>
    <n v="50"/>
    <n v="0"/>
    <n v="4.5"/>
    <n v="0.28281764318630676"/>
    <n v="245"/>
    <n v="4.4285714285714288"/>
  </r>
  <r>
    <s v="2024-04-09"/>
    <x v="3"/>
    <x v="1"/>
    <x v="0"/>
    <n v="15"/>
    <n v="3855"/>
    <n v="1409"/>
    <x v="3"/>
    <n v="42"/>
    <n v="1"/>
    <n v="3.8"/>
    <n v="0.36549935149156937"/>
    <n v="257"/>
    <n v="3.75"/>
  </r>
  <r>
    <s v="2024-04-09"/>
    <x v="3"/>
    <x v="1"/>
    <x v="1"/>
    <n v="62"/>
    <n v="17794"/>
    <n v="7218"/>
    <x v="2"/>
    <n v="66"/>
    <n v="3"/>
    <n v="4.5999999999999996"/>
    <n v="0.40564235135438914"/>
    <n v="287"/>
    <n v="8.8571428571428577"/>
  </r>
  <r>
    <s v="2024-04-09"/>
    <x v="3"/>
    <x v="1"/>
    <x v="2"/>
    <n v="37"/>
    <n v="10693"/>
    <n v="3713"/>
    <x v="2"/>
    <n v="50"/>
    <n v="0"/>
    <n v="4.3"/>
    <n v="0.34723650986626764"/>
    <n v="289"/>
    <n v="5.2857142857142856"/>
  </r>
  <r>
    <s v="2024-04-10"/>
    <x v="3"/>
    <x v="2"/>
    <x v="0"/>
    <n v="47"/>
    <n v="13160"/>
    <n v="5201"/>
    <x v="3"/>
    <n v="49"/>
    <n v="0"/>
    <n v="3.8"/>
    <n v="0.39521276595744681"/>
    <n v="280"/>
    <n v="11.75"/>
  </r>
  <r>
    <s v="2024-04-10"/>
    <x v="3"/>
    <x v="2"/>
    <x v="1"/>
    <n v="66"/>
    <n v="20724"/>
    <n v="6397"/>
    <x v="6"/>
    <n v="62"/>
    <n v="4"/>
    <n v="4.5"/>
    <n v="0.30867593128739623"/>
    <n v="314"/>
    <n v="7.333333333333333"/>
  </r>
  <r>
    <s v="2024-04-10"/>
    <x v="3"/>
    <x v="2"/>
    <x v="2"/>
    <n v="39"/>
    <n v="12597"/>
    <n v="4566"/>
    <x v="3"/>
    <n v="49"/>
    <n v="0"/>
    <n v="3.9"/>
    <n v="0.36246725410812097"/>
    <n v="323"/>
    <n v="9.75"/>
  </r>
  <r>
    <s v="2024-04-11"/>
    <x v="3"/>
    <x v="3"/>
    <x v="0"/>
    <n v="20"/>
    <n v="5460"/>
    <n v="2085"/>
    <x v="0"/>
    <n v="44"/>
    <n v="2"/>
    <n v="4.2"/>
    <n v="0.38186813186813184"/>
    <n v="273"/>
    <n v="6.666666666666667"/>
  </r>
  <r>
    <s v="2024-04-11"/>
    <x v="3"/>
    <x v="3"/>
    <x v="1"/>
    <n v="96"/>
    <n v="44256"/>
    <n v="12953"/>
    <x v="7"/>
    <n v="66"/>
    <n v="3"/>
    <n v="4.2"/>
    <n v="0.29268347794649313"/>
    <n v="461"/>
    <n v="12"/>
  </r>
  <r>
    <s v="2024-04-11"/>
    <x v="3"/>
    <x v="3"/>
    <x v="2"/>
    <n v="33"/>
    <n v="9372"/>
    <n v="3762"/>
    <x v="3"/>
    <n v="56"/>
    <n v="2"/>
    <n v="4.3"/>
    <n v="0.40140845070422537"/>
    <n v="284"/>
    <n v="8.25"/>
  </r>
  <r>
    <s v="2024-04-12"/>
    <x v="3"/>
    <x v="4"/>
    <x v="0"/>
    <n v="32"/>
    <n v="5792"/>
    <n v="2208"/>
    <x v="0"/>
    <n v="52"/>
    <n v="1"/>
    <n v="4.0999999999999996"/>
    <n v="0.38121546961325969"/>
    <n v="181"/>
    <n v="10.666666666666666"/>
  </r>
  <r>
    <s v="2024-04-12"/>
    <x v="3"/>
    <x v="4"/>
    <x v="1"/>
    <n v="80"/>
    <n v="37280"/>
    <n v="15001"/>
    <x v="6"/>
    <n v="65"/>
    <n v="3"/>
    <n v="3.6"/>
    <n v="0.40238733905579399"/>
    <n v="466"/>
    <n v="8.8888888888888893"/>
  </r>
  <r>
    <s v="2024-04-12"/>
    <x v="3"/>
    <x v="4"/>
    <x v="2"/>
    <n v="78"/>
    <n v="25740"/>
    <n v="10230"/>
    <x v="5"/>
    <n v="57"/>
    <n v="0"/>
    <n v="4.5"/>
    <n v="0.39743589743589741"/>
    <n v="330"/>
    <n v="15.6"/>
  </r>
  <r>
    <s v="2024-04-13"/>
    <x v="3"/>
    <x v="5"/>
    <x v="0"/>
    <n v="67"/>
    <n v="17152"/>
    <n v="6308"/>
    <x v="5"/>
    <n v="43"/>
    <n v="2"/>
    <n v="4.2"/>
    <n v="0.36777052238805968"/>
    <n v="256"/>
    <n v="13.4"/>
  </r>
  <r>
    <s v="2024-04-13"/>
    <x v="3"/>
    <x v="5"/>
    <x v="1"/>
    <n v="103"/>
    <n v="33372"/>
    <n v="13507"/>
    <x v="1"/>
    <n v="71"/>
    <n v="0"/>
    <n v="3.7"/>
    <n v="0.40474050101881814"/>
    <n v="324"/>
    <n v="10.3"/>
  </r>
  <r>
    <s v="2024-04-13"/>
    <x v="3"/>
    <x v="5"/>
    <x v="2"/>
    <n v="109"/>
    <n v="33899"/>
    <n v="12576"/>
    <x v="5"/>
    <n v="41"/>
    <n v="0"/>
    <n v="3.6"/>
    <n v="0.37098439481990619"/>
    <n v="311"/>
    <n v="21.8"/>
  </r>
  <r>
    <s v="2024-04-14"/>
    <x v="3"/>
    <x v="6"/>
    <x v="0"/>
    <n v="26"/>
    <n v="7020"/>
    <n v="2323"/>
    <x v="3"/>
    <n v="55"/>
    <n v="2"/>
    <n v="4.2"/>
    <n v="0.33091168091168094"/>
    <n v="270"/>
    <n v="6.5"/>
  </r>
  <r>
    <s v="2024-04-14"/>
    <x v="3"/>
    <x v="6"/>
    <x v="1"/>
    <n v="182"/>
    <n v="61880"/>
    <n v="23069"/>
    <x v="4"/>
    <n v="63"/>
    <n v="0"/>
    <n v="3.9"/>
    <n v="0.37280219780219781"/>
    <n v="340"/>
    <n v="30.333333333333332"/>
  </r>
  <r>
    <s v="2024-04-14"/>
    <x v="3"/>
    <x v="6"/>
    <x v="2"/>
    <n v="68"/>
    <n v="16796"/>
    <n v="6422"/>
    <x v="2"/>
    <n v="50"/>
    <n v="0"/>
    <n v="4.2"/>
    <n v="0.38235294117647056"/>
    <n v="247"/>
    <n v="9.7142857142857135"/>
  </r>
  <r>
    <s v="2024-04-15"/>
    <x v="3"/>
    <x v="0"/>
    <x v="0"/>
    <n v="30"/>
    <n v="7170"/>
    <n v="2560"/>
    <x v="3"/>
    <n v="53"/>
    <n v="0"/>
    <n v="4"/>
    <n v="0.35704323570432356"/>
    <n v="239"/>
    <n v="7.5"/>
  </r>
  <r>
    <s v="2024-04-15"/>
    <x v="3"/>
    <x v="0"/>
    <x v="1"/>
    <n v="88"/>
    <n v="27984"/>
    <n v="11460"/>
    <x v="4"/>
    <n v="67"/>
    <n v="0"/>
    <n v="3.7"/>
    <n v="0.40951972555746141"/>
    <n v="318"/>
    <n v="14.666666666666666"/>
  </r>
  <r>
    <s v="2024-04-15"/>
    <x v="3"/>
    <x v="0"/>
    <x v="2"/>
    <n v="28"/>
    <n v="7336"/>
    <n v="2703"/>
    <x v="2"/>
    <n v="44"/>
    <n v="2"/>
    <n v="4.2"/>
    <n v="0.36845692475463465"/>
    <n v="262"/>
    <n v="4"/>
  </r>
  <r>
    <s v="2024-04-16"/>
    <x v="3"/>
    <x v="1"/>
    <x v="0"/>
    <n v="32"/>
    <n v="8000"/>
    <n v="2713"/>
    <x v="0"/>
    <n v="43"/>
    <n v="2"/>
    <n v="4"/>
    <n v="0.33912500000000001"/>
    <n v="250"/>
    <n v="10.666666666666666"/>
  </r>
  <r>
    <s v="2024-04-16"/>
    <x v="3"/>
    <x v="1"/>
    <x v="1"/>
    <n v="72"/>
    <n v="32760"/>
    <n v="12966"/>
    <x v="4"/>
    <n v="51"/>
    <n v="4"/>
    <n v="4.5"/>
    <n v="0.39578754578754577"/>
    <n v="455"/>
    <n v="12"/>
  </r>
  <r>
    <s v="2024-04-16"/>
    <x v="3"/>
    <x v="1"/>
    <x v="2"/>
    <n v="25"/>
    <n v="8450"/>
    <n v="3164"/>
    <x v="2"/>
    <n v="50"/>
    <n v="2"/>
    <n v="4.4000000000000004"/>
    <n v="0.37443786982248523"/>
    <n v="338"/>
    <n v="3.5714285714285716"/>
  </r>
  <r>
    <s v="2024-04-17"/>
    <x v="3"/>
    <x v="2"/>
    <x v="0"/>
    <n v="38"/>
    <n v="9880"/>
    <n v="2838"/>
    <x v="0"/>
    <n v="55"/>
    <n v="1"/>
    <n v="4.4000000000000004"/>
    <n v="0.28724696356275303"/>
    <n v="260"/>
    <n v="12.666666666666666"/>
  </r>
  <r>
    <s v="2024-04-17"/>
    <x v="3"/>
    <x v="2"/>
    <x v="1"/>
    <n v="116"/>
    <n v="36424"/>
    <n v="13156"/>
    <x v="2"/>
    <n v="65"/>
    <n v="1"/>
    <n v="4"/>
    <n v="0.3611904238963321"/>
    <n v="314"/>
    <n v="16.571428571428573"/>
  </r>
  <r>
    <s v="2024-04-17"/>
    <x v="3"/>
    <x v="2"/>
    <x v="2"/>
    <n v="58"/>
    <n v="11658"/>
    <n v="4217"/>
    <x v="5"/>
    <n v="64"/>
    <n v="3"/>
    <n v="4.5"/>
    <n v="0.36172585349116487"/>
    <n v="201"/>
    <n v="11.6"/>
  </r>
  <r>
    <s v="2024-04-18"/>
    <x v="3"/>
    <x v="3"/>
    <x v="0"/>
    <n v="17"/>
    <n v="4369"/>
    <n v="1244"/>
    <x v="5"/>
    <n v="50"/>
    <n v="0"/>
    <n v="4.4000000000000004"/>
    <n v="0.28473334859235522"/>
    <n v="257"/>
    <n v="3.4"/>
  </r>
  <r>
    <s v="2024-04-18"/>
    <x v="3"/>
    <x v="3"/>
    <x v="1"/>
    <n v="107"/>
    <n v="46331"/>
    <n v="17278"/>
    <x v="6"/>
    <n v="69"/>
    <n v="4"/>
    <n v="4.3"/>
    <n v="0.37292525522868059"/>
    <n v="433"/>
    <n v="11.888888888888889"/>
  </r>
  <r>
    <s v="2024-04-18"/>
    <x v="3"/>
    <x v="3"/>
    <x v="2"/>
    <n v="67"/>
    <n v="20569"/>
    <n v="5784"/>
    <x v="2"/>
    <n v="58"/>
    <n v="1"/>
    <n v="4.2"/>
    <n v="0.28119986387281831"/>
    <n v="307"/>
    <n v="9.5714285714285712"/>
  </r>
  <r>
    <s v="2024-04-19"/>
    <x v="3"/>
    <x v="4"/>
    <x v="0"/>
    <n v="64"/>
    <n v="14784"/>
    <n v="5936"/>
    <x v="0"/>
    <n v="50"/>
    <n v="0"/>
    <n v="4.0999999999999996"/>
    <n v="0.40151515151515149"/>
    <n v="231"/>
    <n v="21.333333333333332"/>
  </r>
  <r>
    <s v="2024-04-19"/>
    <x v="3"/>
    <x v="4"/>
    <x v="1"/>
    <n v="93"/>
    <n v="39339"/>
    <n v="16211"/>
    <x v="6"/>
    <n v="49"/>
    <n v="1"/>
    <n v="4"/>
    <n v="0.41208469966191313"/>
    <n v="423"/>
    <n v="10.333333333333334"/>
  </r>
  <r>
    <s v="2024-04-19"/>
    <x v="3"/>
    <x v="4"/>
    <x v="2"/>
    <n v="39"/>
    <n v="12441"/>
    <n v="3549"/>
    <x v="4"/>
    <n v="50"/>
    <n v="2"/>
    <n v="4.2"/>
    <n v="0.28526645768025077"/>
    <n v="319"/>
    <n v="6.5"/>
  </r>
  <r>
    <s v="2024-04-20"/>
    <x v="3"/>
    <x v="5"/>
    <x v="0"/>
    <n v="54"/>
    <n v="11124"/>
    <n v="4314"/>
    <x v="5"/>
    <n v="43"/>
    <n v="0"/>
    <n v="4.0999999999999996"/>
    <n v="0.38781014023732469"/>
    <n v="206"/>
    <n v="10.8"/>
  </r>
  <r>
    <s v="2024-04-20"/>
    <x v="3"/>
    <x v="5"/>
    <x v="1"/>
    <n v="105"/>
    <n v="33075"/>
    <n v="11205"/>
    <x v="4"/>
    <n v="58"/>
    <n v="3"/>
    <n v="4.5999999999999996"/>
    <n v="0.33877551020408164"/>
    <n v="315"/>
    <n v="17.5"/>
  </r>
  <r>
    <s v="2024-04-20"/>
    <x v="3"/>
    <x v="5"/>
    <x v="2"/>
    <n v="44"/>
    <n v="9020"/>
    <n v="2636"/>
    <x v="4"/>
    <n v="63"/>
    <n v="0"/>
    <n v="4.5999999999999996"/>
    <n v="0.29223946784922394"/>
    <n v="205"/>
    <n v="7.333333333333333"/>
  </r>
  <r>
    <s v="2024-04-21"/>
    <x v="3"/>
    <x v="6"/>
    <x v="0"/>
    <n v="40"/>
    <n v="7520"/>
    <n v="2704"/>
    <x v="3"/>
    <n v="39"/>
    <n v="1"/>
    <n v="4"/>
    <n v="0.3595744680851064"/>
    <n v="188"/>
    <n v="10"/>
  </r>
  <r>
    <s v="2024-04-21"/>
    <x v="3"/>
    <x v="6"/>
    <x v="1"/>
    <n v="169"/>
    <n v="62699"/>
    <n v="21130"/>
    <x v="1"/>
    <n v="74"/>
    <n v="1"/>
    <n v="4.4000000000000004"/>
    <n v="0.33700696980813089"/>
    <n v="371"/>
    <n v="16.899999999999999"/>
  </r>
  <r>
    <s v="2024-04-21"/>
    <x v="3"/>
    <x v="6"/>
    <x v="2"/>
    <n v="89"/>
    <n v="23051"/>
    <n v="7075"/>
    <x v="3"/>
    <n v="65"/>
    <n v="1"/>
    <n v="3.8"/>
    <n v="0.30692811591687996"/>
    <n v="259"/>
    <n v="22.25"/>
  </r>
  <r>
    <s v="2024-04-22"/>
    <x v="3"/>
    <x v="0"/>
    <x v="0"/>
    <n v="39"/>
    <n v="8541"/>
    <n v="2556"/>
    <x v="0"/>
    <n v="40"/>
    <n v="0"/>
    <n v="4.4000000000000004"/>
    <n v="0.29926238145416229"/>
    <n v="219"/>
    <n v="13"/>
  </r>
  <r>
    <s v="2024-04-22"/>
    <x v="3"/>
    <x v="0"/>
    <x v="1"/>
    <n v="103"/>
    <n v="44187"/>
    <n v="16031"/>
    <x v="2"/>
    <n v="55"/>
    <n v="4"/>
    <n v="3.8"/>
    <n v="0.36279901328445019"/>
    <n v="429"/>
    <n v="14.714285714285714"/>
  </r>
  <r>
    <s v="2024-04-22"/>
    <x v="3"/>
    <x v="0"/>
    <x v="2"/>
    <n v="55"/>
    <n v="13310"/>
    <n v="4096"/>
    <x v="5"/>
    <n v="44"/>
    <n v="1"/>
    <n v="4.2"/>
    <n v="0.30773854244928628"/>
    <n v="242"/>
    <n v="11"/>
  </r>
  <r>
    <s v="2024-04-23"/>
    <x v="3"/>
    <x v="1"/>
    <x v="0"/>
    <n v="39"/>
    <n v="9633"/>
    <n v="3673"/>
    <x v="5"/>
    <n v="46"/>
    <n v="1"/>
    <n v="4.3"/>
    <n v="0.38129347036229627"/>
    <n v="247"/>
    <n v="7.8"/>
  </r>
  <r>
    <s v="2024-04-23"/>
    <x v="3"/>
    <x v="1"/>
    <x v="1"/>
    <n v="111"/>
    <n v="41625"/>
    <n v="13991"/>
    <x v="6"/>
    <n v="51"/>
    <n v="4"/>
    <n v="3.7"/>
    <n v="0.3361201201201201"/>
    <n v="375"/>
    <n v="12.333333333333334"/>
  </r>
  <r>
    <s v="2024-04-23"/>
    <x v="3"/>
    <x v="1"/>
    <x v="2"/>
    <n v="52"/>
    <n v="16432"/>
    <n v="5674"/>
    <x v="3"/>
    <n v="62"/>
    <n v="1"/>
    <n v="4.0999999999999996"/>
    <n v="0.34530185004868547"/>
    <n v="316"/>
    <n v="13"/>
  </r>
  <r>
    <s v="2024-04-24"/>
    <x v="3"/>
    <x v="2"/>
    <x v="0"/>
    <n v="33"/>
    <n v="6963"/>
    <n v="2130"/>
    <x v="5"/>
    <n v="38"/>
    <n v="1"/>
    <n v="4"/>
    <n v="0.30590262817750968"/>
    <n v="211"/>
    <n v="6.6"/>
  </r>
  <r>
    <s v="2024-04-24"/>
    <x v="3"/>
    <x v="2"/>
    <x v="1"/>
    <n v="82"/>
    <n v="37884"/>
    <n v="11592"/>
    <x v="7"/>
    <n v="49"/>
    <n v="1"/>
    <n v="4.2"/>
    <n v="0.30598669623059865"/>
    <n v="462"/>
    <n v="10.25"/>
  </r>
  <r>
    <s v="2024-04-24"/>
    <x v="3"/>
    <x v="2"/>
    <x v="2"/>
    <n v="61"/>
    <n v="14884"/>
    <n v="5749"/>
    <x v="3"/>
    <n v="54"/>
    <n v="0"/>
    <n v="4.2"/>
    <n v="0.38625369524321418"/>
    <n v="244"/>
    <n v="15.25"/>
  </r>
  <r>
    <s v="2024-04-25"/>
    <x v="3"/>
    <x v="3"/>
    <x v="0"/>
    <n v="28"/>
    <n v="7476"/>
    <n v="2360"/>
    <x v="3"/>
    <n v="38"/>
    <n v="2"/>
    <n v="3.9"/>
    <n v="0.31567683253076512"/>
    <n v="267"/>
    <n v="7"/>
  </r>
  <r>
    <s v="2024-04-25"/>
    <x v="3"/>
    <x v="3"/>
    <x v="1"/>
    <n v="113"/>
    <n v="47234"/>
    <n v="16801"/>
    <x v="7"/>
    <n v="59"/>
    <n v="4"/>
    <n v="4.3"/>
    <n v="0.35569716729474532"/>
    <n v="418"/>
    <n v="14.125"/>
  </r>
  <r>
    <s v="2024-04-25"/>
    <x v="3"/>
    <x v="3"/>
    <x v="2"/>
    <n v="59"/>
    <n v="13570"/>
    <n v="4981"/>
    <x v="5"/>
    <n v="43"/>
    <n v="3"/>
    <n v="3.8"/>
    <n v="0.36705969049373616"/>
    <n v="230"/>
    <n v="11.8"/>
  </r>
  <r>
    <s v="2024-04-26"/>
    <x v="3"/>
    <x v="4"/>
    <x v="0"/>
    <n v="57"/>
    <n v="13281"/>
    <n v="4306"/>
    <x v="0"/>
    <n v="50"/>
    <n v="1"/>
    <n v="4.0999999999999996"/>
    <n v="0.32422257360138546"/>
    <n v="233"/>
    <n v="19"/>
  </r>
  <r>
    <s v="2024-04-26"/>
    <x v="3"/>
    <x v="4"/>
    <x v="1"/>
    <n v="180"/>
    <n v="60660"/>
    <n v="24585"/>
    <x v="2"/>
    <n v="48"/>
    <n v="0"/>
    <n v="3.6"/>
    <n v="0.4052917903066271"/>
    <n v="337"/>
    <n v="25.714285714285715"/>
  </r>
  <r>
    <s v="2024-04-26"/>
    <x v="3"/>
    <x v="4"/>
    <x v="2"/>
    <n v="85"/>
    <n v="20995"/>
    <n v="6004"/>
    <x v="2"/>
    <n v="48"/>
    <n v="3"/>
    <n v="4.4000000000000004"/>
    <n v="0.28597285067873301"/>
    <n v="247"/>
    <n v="12.142857142857142"/>
  </r>
  <r>
    <s v="2024-04-27"/>
    <x v="3"/>
    <x v="5"/>
    <x v="0"/>
    <n v="70"/>
    <n v="14210"/>
    <n v="4975"/>
    <x v="0"/>
    <n v="46"/>
    <n v="0"/>
    <n v="4.2"/>
    <n v="0.35010555946516536"/>
    <n v="203"/>
    <n v="23.333333333333332"/>
  </r>
  <r>
    <s v="2024-04-27"/>
    <x v="3"/>
    <x v="5"/>
    <x v="1"/>
    <n v="198"/>
    <n v="62370"/>
    <n v="24515"/>
    <x v="4"/>
    <n v="57"/>
    <n v="2"/>
    <n v="4.4000000000000004"/>
    <n v="0.3930575597242264"/>
    <n v="315"/>
    <n v="33"/>
  </r>
  <r>
    <s v="2024-04-27"/>
    <x v="3"/>
    <x v="5"/>
    <x v="2"/>
    <n v="57"/>
    <n v="19608"/>
    <n v="7746"/>
    <x v="4"/>
    <n v="48"/>
    <n v="3"/>
    <n v="3.7"/>
    <n v="0.39504283965728276"/>
    <n v="344"/>
    <n v="9.5"/>
  </r>
  <r>
    <s v="2024-04-28"/>
    <x v="3"/>
    <x v="6"/>
    <x v="0"/>
    <n v="62"/>
    <n v="12586"/>
    <n v="5198"/>
    <x v="3"/>
    <n v="49"/>
    <n v="0"/>
    <n v="4.2"/>
    <n v="0.41299856983950423"/>
    <n v="203"/>
    <n v="15.5"/>
  </r>
  <r>
    <s v="2024-04-28"/>
    <x v="3"/>
    <x v="6"/>
    <x v="1"/>
    <n v="188"/>
    <n v="85916"/>
    <n v="34209"/>
    <x v="2"/>
    <n v="60"/>
    <n v="3"/>
    <n v="3.8"/>
    <n v="0.39816797802504772"/>
    <n v="457"/>
    <n v="26.857142857142858"/>
  </r>
  <r>
    <s v="2024-04-28"/>
    <x v="3"/>
    <x v="6"/>
    <x v="2"/>
    <n v="61"/>
    <n v="16226"/>
    <n v="5276"/>
    <x v="2"/>
    <n v="53"/>
    <n v="2"/>
    <n v="3.9"/>
    <n v="0.32515715518303956"/>
    <n v="266"/>
    <n v="8.7142857142857135"/>
  </r>
  <r>
    <s v="2024-04-29"/>
    <x v="3"/>
    <x v="0"/>
    <x v="0"/>
    <n v="35"/>
    <n v="6440"/>
    <n v="2131"/>
    <x v="5"/>
    <n v="39"/>
    <n v="2"/>
    <n v="4.4000000000000004"/>
    <n v="0.33090062111801244"/>
    <n v="184"/>
    <n v="7"/>
  </r>
  <r>
    <s v="2024-04-29"/>
    <x v="3"/>
    <x v="0"/>
    <x v="1"/>
    <n v="97"/>
    <n v="44135"/>
    <n v="13222"/>
    <x v="7"/>
    <n v="74"/>
    <n v="3"/>
    <n v="4.3"/>
    <n v="0.29958083153959442"/>
    <n v="455"/>
    <n v="12.125"/>
  </r>
  <r>
    <s v="2024-04-29"/>
    <x v="3"/>
    <x v="0"/>
    <x v="2"/>
    <n v="26"/>
    <n v="9074"/>
    <n v="2755"/>
    <x v="5"/>
    <n v="50"/>
    <n v="2"/>
    <n v="3.9"/>
    <n v="0.303614723385497"/>
    <n v="349"/>
    <n v="5.2"/>
  </r>
  <r>
    <s v="2024-04-30"/>
    <x v="3"/>
    <x v="1"/>
    <x v="0"/>
    <n v="29"/>
    <n v="6815"/>
    <n v="2600"/>
    <x v="0"/>
    <n v="36"/>
    <n v="2"/>
    <n v="4.3"/>
    <n v="0.3815113719735877"/>
    <n v="235"/>
    <n v="9.6666666666666661"/>
  </r>
  <r>
    <s v="2024-04-30"/>
    <x v="3"/>
    <x v="1"/>
    <x v="1"/>
    <n v="96"/>
    <n v="34368"/>
    <n v="14338"/>
    <x v="4"/>
    <n v="56"/>
    <n v="1"/>
    <n v="4.5999999999999996"/>
    <n v="0.41719040968342647"/>
    <n v="358"/>
    <n v="16"/>
  </r>
  <r>
    <s v="2024-04-30"/>
    <x v="3"/>
    <x v="1"/>
    <x v="2"/>
    <n v="57"/>
    <n v="14079"/>
    <n v="4723"/>
    <x v="3"/>
    <n v="55"/>
    <n v="3"/>
    <n v="3.9"/>
    <n v="0.33546416648909722"/>
    <n v="247"/>
    <n v="14.25"/>
  </r>
  <r>
    <s v="2024-05-01"/>
    <x v="4"/>
    <x v="2"/>
    <x v="0"/>
    <n v="44"/>
    <n v="11176"/>
    <n v="3604"/>
    <x v="0"/>
    <n v="47"/>
    <n v="2"/>
    <n v="4.0999999999999996"/>
    <n v="0.32247673586256265"/>
    <n v="254"/>
    <n v="14.666666666666666"/>
  </r>
  <r>
    <s v="2024-05-01"/>
    <x v="4"/>
    <x v="2"/>
    <x v="1"/>
    <n v="99"/>
    <n v="29601"/>
    <n v="12336"/>
    <x v="1"/>
    <n v="65"/>
    <n v="2"/>
    <n v="3.5"/>
    <n v="0.41674267761224282"/>
    <n v="299"/>
    <n v="9.9"/>
  </r>
  <r>
    <s v="2024-05-01"/>
    <x v="4"/>
    <x v="2"/>
    <x v="2"/>
    <n v="32"/>
    <n v="8928"/>
    <n v="3666"/>
    <x v="5"/>
    <n v="47"/>
    <n v="3"/>
    <n v="4.5999999999999996"/>
    <n v="0.4106182795698925"/>
    <n v="279"/>
    <n v="6.4"/>
  </r>
  <r>
    <s v="2024-05-02"/>
    <x v="4"/>
    <x v="3"/>
    <x v="0"/>
    <n v="46"/>
    <n v="12512"/>
    <n v="4842"/>
    <x v="3"/>
    <n v="44"/>
    <n v="0"/>
    <n v="4.2"/>
    <n v="0.38698849104859334"/>
    <n v="272"/>
    <n v="11.5"/>
  </r>
  <r>
    <s v="2024-05-02"/>
    <x v="4"/>
    <x v="3"/>
    <x v="1"/>
    <n v="108"/>
    <n v="51300"/>
    <n v="16457"/>
    <x v="2"/>
    <n v="54"/>
    <n v="3"/>
    <n v="3.6"/>
    <n v="0.32079922027290447"/>
    <n v="475"/>
    <n v="15.428571428571429"/>
  </r>
  <r>
    <s v="2024-05-02"/>
    <x v="4"/>
    <x v="3"/>
    <x v="2"/>
    <n v="51"/>
    <n v="12648"/>
    <n v="3739"/>
    <x v="2"/>
    <n v="54"/>
    <n v="3"/>
    <n v="4.3"/>
    <n v="0.29561986084756481"/>
    <n v="248"/>
    <n v="7.2857142857142856"/>
  </r>
  <r>
    <s v="2024-05-03"/>
    <x v="4"/>
    <x v="4"/>
    <x v="0"/>
    <n v="52"/>
    <n v="11856"/>
    <n v="4608"/>
    <x v="5"/>
    <n v="50"/>
    <n v="2"/>
    <n v="3.8"/>
    <n v="0.38866396761133604"/>
    <n v="228"/>
    <n v="10.4"/>
  </r>
  <r>
    <s v="2024-05-03"/>
    <x v="4"/>
    <x v="4"/>
    <x v="1"/>
    <n v="132"/>
    <n v="62436"/>
    <n v="24482"/>
    <x v="6"/>
    <n v="60"/>
    <n v="0"/>
    <n v="3.6"/>
    <n v="0.39211352424883078"/>
    <n v="473"/>
    <n v="14.666666666666666"/>
  </r>
  <r>
    <s v="2024-05-03"/>
    <x v="4"/>
    <x v="4"/>
    <x v="2"/>
    <n v="62"/>
    <n v="17794"/>
    <n v="7417"/>
    <x v="4"/>
    <n v="53"/>
    <n v="1"/>
    <n v="4.3"/>
    <n v="0.4168258963695628"/>
    <n v="287"/>
    <n v="10.333333333333334"/>
  </r>
  <r>
    <s v="2024-05-04"/>
    <x v="4"/>
    <x v="5"/>
    <x v="0"/>
    <n v="47"/>
    <n v="9400"/>
    <n v="2645"/>
    <x v="0"/>
    <n v="47"/>
    <n v="1"/>
    <n v="3.9"/>
    <n v="0.28138297872340423"/>
    <n v="200"/>
    <n v="15.666666666666666"/>
  </r>
  <r>
    <s v="2024-05-04"/>
    <x v="4"/>
    <x v="5"/>
    <x v="1"/>
    <n v="125"/>
    <n v="37250"/>
    <n v="14522"/>
    <x v="4"/>
    <n v="54"/>
    <n v="3"/>
    <n v="4.4000000000000004"/>
    <n v="0.38985234899328858"/>
    <n v="298"/>
    <n v="20.833333333333332"/>
  </r>
  <r>
    <s v="2024-05-04"/>
    <x v="4"/>
    <x v="5"/>
    <x v="2"/>
    <n v="91"/>
    <n v="24024"/>
    <n v="7861"/>
    <x v="4"/>
    <n v="65"/>
    <n v="0"/>
    <n v="4.0999999999999996"/>
    <n v="0.32721445221445222"/>
    <n v="264"/>
    <n v="15.166666666666666"/>
  </r>
  <r>
    <s v="2024-05-05"/>
    <x v="4"/>
    <x v="6"/>
    <x v="0"/>
    <n v="45"/>
    <n v="8730"/>
    <n v="2810"/>
    <x v="3"/>
    <n v="47"/>
    <n v="0"/>
    <n v="4.0999999999999996"/>
    <n v="0.3218785796105384"/>
    <n v="194"/>
    <n v="11.25"/>
  </r>
  <r>
    <s v="2024-05-05"/>
    <x v="4"/>
    <x v="6"/>
    <x v="1"/>
    <n v="110"/>
    <n v="42460"/>
    <n v="12959"/>
    <x v="4"/>
    <n v="66"/>
    <n v="0"/>
    <n v="3.8"/>
    <n v="0.30520489872821477"/>
    <n v="386"/>
    <n v="18.333333333333332"/>
  </r>
  <r>
    <s v="2024-05-05"/>
    <x v="4"/>
    <x v="6"/>
    <x v="2"/>
    <n v="96"/>
    <n v="30432"/>
    <n v="8631"/>
    <x v="4"/>
    <n v="55"/>
    <n v="2"/>
    <n v="4.3"/>
    <n v="0.28361593059936907"/>
    <n v="317"/>
    <n v="16"/>
  </r>
  <r>
    <s v="2024-05-06"/>
    <x v="4"/>
    <x v="0"/>
    <x v="0"/>
    <n v="29"/>
    <n v="6525"/>
    <n v="2731"/>
    <x v="5"/>
    <n v="51"/>
    <n v="1"/>
    <n v="3.8"/>
    <n v="0.41854406130268201"/>
    <n v="225"/>
    <n v="5.8"/>
  </r>
  <r>
    <s v="2024-05-06"/>
    <x v="4"/>
    <x v="0"/>
    <x v="1"/>
    <n v="79"/>
    <n v="32943"/>
    <n v="11479"/>
    <x v="7"/>
    <n v="57"/>
    <n v="3"/>
    <n v="3.8"/>
    <n v="0.34845035364113774"/>
    <n v="417"/>
    <n v="9.875"/>
  </r>
  <r>
    <s v="2024-05-06"/>
    <x v="4"/>
    <x v="0"/>
    <x v="2"/>
    <n v="41"/>
    <n v="8528"/>
    <n v="2992"/>
    <x v="3"/>
    <n v="45"/>
    <n v="0"/>
    <n v="3.9"/>
    <n v="0.35084427767354598"/>
    <n v="208"/>
    <n v="10.25"/>
  </r>
  <r>
    <s v="2024-05-07"/>
    <x v="4"/>
    <x v="1"/>
    <x v="0"/>
    <n v="43"/>
    <n v="10062"/>
    <n v="3604"/>
    <x v="5"/>
    <n v="39"/>
    <n v="1"/>
    <n v="4.2"/>
    <n v="0.35817928841184654"/>
    <n v="234"/>
    <n v="8.6"/>
  </r>
  <r>
    <s v="2024-05-07"/>
    <x v="4"/>
    <x v="1"/>
    <x v="1"/>
    <n v="71"/>
    <n v="33015"/>
    <n v="10900"/>
    <x v="7"/>
    <n v="70"/>
    <n v="1"/>
    <n v="4.5"/>
    <n v="0.33015296077540512"/>
    <n v="465"/>
    <n v="8.875"/>
  </r>
  <r>
    <s v="2024-05-07"/>
    <x v="4"/>
    <x v="1"/>
    <x v="2"/>
    <n v="55"/>
    <n v="11110"/>
    <n v="4174"/>
    <x v="5"/>
    <n v="54"/>
    <n v="0"/>
    <n v="3.7"/>
    <n v="0.37569756975697571"/>
    <n v="202"/>
    <n v="11"/>
  </r>
  <r>
    <s v="2024-05-08"/>
    <x v="4"/>
    <x v="2"/>
    <x v="0"/>
    <n v="45"/>
    <n v="10710"/>
    <n v="4330"/>
    <x v="5"/>
    <n v="43"/>
    <n v="1"/>
    <n v="3.9"/>
    <n v="0.40429505135387489"/>
    <n v="238"/>
    <n v="9"/>
  </r>
  <r>
    <s v="2024-05-08"/>
    <x v="4"/>
    <x v="2"/>
    <x v="1"/>
    <n v="87"/>
    <n v="40716"/>
    <n v="14193"/>
    <x v="7"/>
    <n v="75"/>
    <n v="2"/>
    <n v="4.5"/>
    <n v="0.34858532272325377"/>
    <n v="468"/>
    <n v="10.875"/>
  </r>
  <r>
    <s v="2024-05-08"/>
    <x v="4"/>
    <x v="2"/>
    <x v="2"/>
    <n v="55"/>
    <n v="18975"/>
    <n v="7458"/>
    <x v="3"/>
    <n v="62"/>
    <n v="0"/>
    <n v="4.4000000000000004"/>
    <n v="0.39304347826086955"/>
    <n v="345"/>
    <n v="13.75"/>
  </r>
  <r>
    <s v="2024-05-09"/>
    <x v="4"/>
    <x v="3"/>
    <x v="0"/>
    <n v="33"/>
    <n v="8415"/>
    <n v="2539"/>
    <x v="3"/>
    <n v="41"/>
    <n v="2"/>
    <n v="3.9"/>
    <n v="0.30172311348781938"/>
    <n v="255"/>
    <n v="8.25"/>
  </r>
  <r>
    <s v="2024-05-09"/>
    <x v="4"/>
    <x v="3"/>
    <x v="1"/>
    <n v="51"/>
    <n v="17748"/>
    <n v="7226"/>
    <x v="2"/>
    <n v="61"/>
    <n v="4"/>
    <n v="4"/>
    <n v="0.4071444669821952"/>
    <n v="348"/>
    <n v="7.2857142857142856"/>
  </r>
  <r>
    <s v="2024-05-09"/>
    <x v="4"/>
    <x v="3"/>
    <x v="2"/>
    <n v="63"/>
    <n v="12852"/>
    <n v="3769"/>
    <x v="3"/>
    <n v="51"/>
    <n v="1"/>
    <n v="4"/>
    <n v="0.29326174914410208"/>
    <n v="204"/>
    <n v="15.75"/>
  </r>
  <r>
    <s v="2024-05-10"/>
    <x v="4"/>
    <x v="4"/>
    <x v="0"/>
    <n v="69"/>
    <n v="12627"/>
    <n v="4296"/>
    <x v="0"/>
    <n v="55"/>
    <n v="0"/>
    <n v="4.4000000000000004"/>
    <n v="0.34022333095747209"/>
    <n v="183"/>
    <n v="23"/>
  </r>
  <r>
    <s v="2024-05-10"/>
    <x v="4"/>
    <x v="4"/>
    <x v="1"/>
    <n v="109"/>
    <n v="39022"/>
    <n v="11040"/>
    <x v="7"/>
    <n v="61"/>
    <n v="2"/>
    <n v="4"/>
    <n v="0.28291732868638203"/>
    <n v="358"/>
    <n v="13.625"/>
  </r>
  <r>
    <s v="2024-05-10"/>
    <x v="4"/>
    <x v="4"/>
    <x v="2"/>
    <n v="48"/>
    <n v="10608"/>
    <n v="4085"/>
    <x v="5"/>
    <n v="55"/>
    <n v="2"/>
    <n v="3.6"/>
    <n v="0.38508672699849172"/>
    <n v="221"/>
    <n v="9.6"/>
  </r>
  <r>
    <s v="2024-05-11"/>
    <x v="4"/>
    <x v="5"/>
    <x v="0"/>
    <n v="54"/>
    <n v="10368"/>
    <n v="3275"/>
    <x v="5"/>
    <n v="45"/>
    <n v="1"/>
    <n v="4.4000000000000004"/>
    <n v="0.31587577160493829"/>
    <n v="192"/>
    <n v="10.8"/>
  </r>
  <r>
    <s v="2024-05-11"/>
    <x v="4"/>
    <x v="5"/>
    <x v="1"/>
    <n v="189"/>
    <n v="75033"/>
    <n v="24239"/>
    <x v="7"/>
    <n v="60"/>
    <n v="4"/>
    <n v="4"/>
    <n v="0.32304452707475378"/>
    <n v="397"/>
    <n v="23.625"/>
  </r>
  <r>
    <s v="2024-05-11"/>
    <x v="4"/>
    <x v="5"/>
    <x v="2"/>
    <n v="53"/>
    <n v="13144"/>
    <n v="4957"/>
    <x v="5"/>
    <n v="57"/>
    <n v="1"/>
    <n v="4"/>
    <n v="0.37713024954351798"/>
    <n v="248"/>
    <n v="10.6"/>
  </r>
  <r>
    <s v="2024-05-12"/>
    <x v="4"/>
    <x v="6"/>
    <x v="0"/>
    <n v="67"/>
    <n v="16750"/>
    <n v="6201"/>
    <x v="5"/>
    <n v="46"/>
    <n v="1"/>
    <n v="4.5"/>
    <n v="0.37020895522388059"/>
    <n v="250"/>
    <n v="13.4"/>
  </r>
  <r>
    <s v="2024-05-12"/>
    <x v="4"/>
    <x v="6"/>
    <x v="1"/>
    <n v="189"/>
    <n v="63882"/>
    <n v="26793"/>
    <x v="7"/>
    <n v="52"/>
    <n v="2"/>
    <n v="4"/>
    <n v="0.41941391941391942"/>
    <n v="338"/>
    <n v="23.625"/>
  </r>
  <r>
    <s v="2024-05-12"/>
    <x v="4"/>
    <x v="6"/>
    <x v="2"/>
    <n v="58"/>
    <n v="20010"/>
    <n v="6039"/>
    <x v="2"/>
    <n v="65"/>
    <n v="2"/>
    <n v="4.4000000000000004"/>
    <n v="0.30179910044977509"/>
    <n v="345"/>
    <n v="8.2857142857142865"/>
  </r>
  <r>
    <s v="2024-05-13"/>
    <x v="4"/>
    <x v="0"/>
    <x v="0"/>
    <n v="23"/>
    <n v="5980"/>
    <n v="1985"/>
    <x v="5"/>
    <n v="45"/>
    <n v="1"/>
    <n v="4.4000000000000004"/>
    <n v="0.33193979933110368"/>
    <n v="260"/>
    <n v="4.5999999999999996"/>
  </r>
  <r>
    <s v="2024-05-13"/>
    <x v="4"/>
    <x v="0"/>
    <x v="1"/>
    <n v="44"/>
    <n v="13948"/>
    <n v="4552"/>
    <x v="7"/>
    <n v="73"/>
    <n v="2"/>
    <n v="4.5"/>
    <n v="0.32635503297963864"/>
    <n v="317"/>
    <n v="5.5"/>
  </r>
  <r>
    <s v="2024-05-13"/>
    <x v="4"/>
    <x v="0"/>
    <x v="2"/>
    <n v="39"/>
    <n v="12051"/>
    <n v="4292"/>
    <x v="5"/>
    <n v="45"/>
    <n v="0"/>
    <n v="3.8"/>
    <n v="0.3561530163471911"/>
    <n v="309"/>
    <n v="7.8"/>
  </r>
  <r>
    <s v="2024-05-14"/>
    <x v="4"/>
    <x v="1"/>
    <x v="0"/>
    <n v="32"/>
    <n v="7488"/>
    <n v="2759"/>
    <x v="3"/>
    <n v="54"/>
    <n v="0"/>
    <n v="4.2"/>
    <n v="0.3684561965811966"/>
    <n v="234"/>
    <n v="8"/>
  </r>
  <r>
    <s v="2024-05-14"/>
    <x v="4"/>
    <x v="1"/>
    <x v="1"/>
    <n v="108"/>
    <n v="31536"/>
    <n v="12120"/>
    <x v="7"/>
    <n v="52"/>
    <n v="0"/>
    <n v="4.3"/>
    <n v="0.38432267884322679"/>
    <n v="292"/>
    <n v="13.5"/>
  </r>
  <r>
    <s v="2024-05-14"/>
    <x v="4"/>
    <x v="1"/>
    <x v="2"/>
    <n v="47"/>
    <n v="13019"/>
    <n v="4501"/>
    <x v="5"/>
    <n v="58"/>
    <n v="1"/>
    <n v="4.0999999999999996"/>
    <n v="0.34572547814732313"/>
    <n v="277"/>
    <n v="9.4"/>
  </r>
  <r>
    <s v="2024-05-15"/>
    <x v="4"/>
    <x v="2"/>
    <x v="0"/>
    <n v="44"/>
    <n v="9240"/>
    <n v="2907"/>
    <x v="3"/>
    <n v="47"/>
    <n v="1"/>
    <n v="4.0999999999999996"/>
    <n v="0.31461038961038962"/>
    <n v="210"/>
    <n v="11"/>
  </r>
  <r>
    <s v="2024-05-15"/>
    <x v="4"/>
    <x v="2"/>
    <x v="1"/>
    <n v="96"/>
    <n v="45408"/>
    <n v="16800"/>
    <x v="1"/>
    <n v="50"/>
    <n v="2"/>
    <n v="4"/>
    <n v="0.3699788583509514"/>
    <n v="473"/>
    <n v="9.6"/>
  </r>
  <r>
    <s v="2024-05-15"/>
    <x v="4"/>
    <x v="2"/>
    <x v="2"/>
    <n v="61"/>
    <n v="16409"/>
    <n v="5557"/>
    <x v="4"/>
    <n v="61"/>
    <n v="3"/>
    <n v="4.2"/>
    <n v="0.33865561582058629"/>
    <n v="269"/>
    <n v="10.166666666666666"/>
  </r>
  <r>
    <s v="2024-05-16"/>
    <x v="4"/>
    <x v="3"/>
    <x v="0"/>
    <n v="42"/>
    <n v="9492"/>
    <n v="3819"/>
    <x v="5"/>
    <n v="46"/>
    <n v="0"/>
    <n v="3.9"/>
    <n v="0.402338811630847"/>
    <n v="226"/>
    <n v="8.4"/>
  </r>
  <r>
    <s v="2024-05-16"/>
    <x v="4"/>
    <x v="3"/>
    <x v="1"/>
    <n v="68"/>
    <n v="30260"/>
    <n v="10425"/>
    <x v="4"/>
    <n v="68"/>
    <n v="0"/>
    <n v="3.8"/>
    <n v="0.34451421017845341"/>
    <n v="445"/>
    <n v="11.333333333333334"/>
  </r>
  <r>
    <s v="2024-05-16"/>
    <x v="4"/>
    <x v="3"/>
    <x v="2"/>
    <n v="32"/>
    <n v="6848"/>
    <n v="2083"/>
    <x v="3"/>
    <n v="60"/>
    <n v="1"/>
    <n v="4"/>
    <n v="0.3041764018691589"/>
    <n v="214"/>
    <n v="8"/>
  </r>
  <r>
    <s v="2024-05-17"/>
    <x v="4"/>
    <x v="4"/>
    <x v="0"/>
    <n v="46"/>
    <n v="8464"/>
    <n v="2454"/>
    <x v="0"/>
    <n v="50"/>
    <n v="1"/>
    <n v="4.4000000000000004"/>
    <n v="0.28993383742911155"/>
    <n v="184"/>
    <n v="15.333333333333334"/>
  </r>
  <r>
    <s v="2024-05-17"/>
    <x v="4"/>
    <x v="4"/>
    <x v="1"/>
    <n v="132"/>
    <n v="51084"/>
    <n v="15453"/>
    <x v="7"/>
    <n v="58"/>
    <n v="2"/>
    <n v="4.3"/>
    <n v="0.30250176180408739"/>
    <n v="387"/>
    <n v="16.5"/>
  </r>
  <r>
    <s v="2024-05-17"/>
    <x v="4"/>
    <x v="4"/>
    <x v="2"/>
    <n v="86"/>
    <n v="19006"/>
    <n v="6187"/>
    <x v="5"/>
    <n v="51"/>
    <n v="3"/>
    <n v="3.7"/>
    <n v="0.32552878038514155"/>
    <n v="221"/>
    <n v="17.2"/>
  </r>
  <r>
    <s v="2024-05-18"/>
    <x v="4"/>
    <x v="5"/>
    <x v="0"/>
    <n v="53"/>
    <n v="9540"/>
    <n v="3878"/>
    <x v="3"/>
    <n v="46"/>
    <n v="2"/>
    <n v="3.9"/>
    <n v="0.40649895178197065"/>
    <n v="180"/>
    <n v="13.25"/>
  </r>
  <r>
    <s v="2024-05-18"/>
    <x v="4"/>
    <x v="5"/>
    <x v="1"/>
    <n v="172"/>
    <n v="56588"/>
    <n v="21666"/>
    <x v="7"/>
    <n v="57"/>
    <n v="1"/>
    <n v="4.0999999999999996"/>
    <n v="0.3828726938573549"/>
    <n v="329"/>
    <n v="21.5"/>
  </r>
  <r>
    <s v="2024-05-18"/>
    <x v="4"/>
    <x v="5"/>
    <x v="2"/>
    <n v="67"/>
    <n v="15946"/>
    <n v="5098"/>
    <x v="3"/>
    <n v="58"/>
    <n v="0"/>
    <n v="3.8"/>
    <n v="0.31970400100338642"/>
    <n v="238"/>
    <n v="16.75"/>
  </r>
  <r>
    <s v="2024-05-19"/>
    <x v="4"/>
    <x v="6"/>
    <x v="0"/>
    <n v="59"/>
    <n v="15281"/>
    <n v="5104"/>
    <x v="5"/>
    <n v="40"/>
    <n v="2"/>
    <n v="4.4000000000000004"/>
    <n v="0.33400955434853741"/>
    <n v="259"/>
    <n v="11.8"/>
  </r>
  <r>
    <s v="2024-05-19"/>
    <x v="4"/>
    <x v="6"/>
    <x v="1"/>
    <n v="167"/>
    <n v="62458"/>
    <n v="25028"/>
    <x v="6"/>
    <n v="51"/>
    <n v="4"/>
    <n v="3.6"/>
    <n v="0.40071728201351309"/>
    <n v="374"/>
    <n v="18.555555555555557"/>
  </r>
  <r>
    <s v="2024-05-19"/>
    <x v="4"/>
    <x v="6"/>
    <x v="2"/>
    <n v="55"/>
    <n v="13860"/>
    <n v="4708"/>
    <x v="3"/>
    <n v="62"/>
    <n v="2"/>
    <n v="4.5"/>
    <n v="0.3396825396825397"/>
    <n v="252"/>
    <n v="13.75"/>
  </r>
  <r>
    <s v="2024-05-20"/>
    <x v="4"/>
    <x v="0"/>
    <x v="0"/>
    <n v="25"/>
    <n v="6325"/>
    <n v="1980"/>
    <x v="5"/>
    <n v="54"/>
    <n v="2"/>
    <n v="4.0999999999999996"/>
    <n v="0.31304347826086959"/>
    <n v="253"/>
    <n v="5"/>
  </r>
  <r>
    <s v="2024-05-20"/>
    <x v="4"/>
    <x v="0"/>
    <x v="1"/>
    <n v="51"/>
    <n v="16167"/>
    <n v="6288"/>
    <x v="1"/>
    <n v="54"/>
    <n v="0"/>
    <n v="3.6"/>
    <n v="0.38894043421785118"/>
    <n v="317"/>
    <n v="5.0999999999999996"/>
  </r>
  <r>
    <s v="2024-05-20"/>
    <x v="4"/>
    <x v="0"/>
    <x v="2"/>
    <n v="35"/>
    <n v="9625"/>
    <n v="3086"/>
    <x v="2"/>
    <n v="56"/>
    <n v="3"/>
    <n v="4.0999999999999996"/>
    <n v="0.32062337662337664"/>
    <n v="275"/>
    <n v="5"/>
  </r>
  <r>
    <s v="2024-05-21"/>
    <x v="4"/>
    <x v="1"/>
    <x v="0"/>
    <n v="20"/>
    <n v="3940"/>
    <n v="1193"/>
    <x v="5"/>
    <n v="51"/>
    <n v="2"/>
    <n v="4.2"/>
    <n v="0.30279187817258885"/>
    <n v="197"/>
    <n v="4"/>
  </r>
  <r>
    <s v="2024-05-21"/>
    <x v="4"/>
    <x v="1"/>
    <x v="1"/>
    <n v="45"/>
    <n v="18675"/>
    <n v="5725"/>
    <x v="1"/>
    <n v="70"/>
    <n v="2"/>
    <n v="4.5999999999999996"/>
    <n v="0.30655957161981257"/>
    <n v="415"/>
    <n v="4.5"/>
  </r>
  <r>
    <s v="2024-05-21"/>
    <x v="4"/>
    <x v="1"/>
    <x v="2"/>
    <n v="52"/>
    <n v="17732"/>
    <n v="6624"/>
    <x v="3"/>
    <n v="46"/>
    <n v="2"/>
    <n v="3.9"/>
    <n v="0.37356192194901872"/>
    <n v="341"/>
    <n v="13"/>
  </r>
  <r>
    <s v="2024-05-22"/>
    <x v="4"/>
    <x v="2"/>
    <x v="0"/>
    <n v="35"/>
    <n v="8435"/>
    <n v="3387"/>
    <x v="3"/>
    <n v="46"/>
    <n v="0"/>
    <n v="4.4000000000000004"/>
    <n v="0.40154119739181982"/>
    <n v="241"/>
    <n v="8.75"/>
  </r>
  <r>
    <s v="2024-05-22"/>
    <x v="4"/>
    <x v="2"/>
    <x v="1"/>
    <n v="76"/>
    <n v="29336"/>
    <n v="10976"/>
    <x v="2"/>
    <n v="45"/>
    <n v="3"/>
    <n v="3.9"/>
    <n v="0.37414780474502318"/>
    <n v="386"/>
    <n v="10.857142857142858"/>
  </r>
  <r>
    <s v="2024-05-22"/>
    <x v="4"/>
    <x v="2"/>
    <x v="2"/>
    <n v="28"/>
    <n v="8512"/>
    <n v="3500"/>
    <x v="3"/>
    <n v="47"/>
    <n v="1"/>
    <n v="4.0999999999999996"/>
    <n v="0.41118421052631576"/>
    <n v="304"/>
    <n v="7"/>
  </r>
  <r>
    <s v="2024-05-23"/>
    <x v="4"/>
    <x v="3"/>
    <x v="0"/>
    <n v="17"/>
    <n v="3451"/>
    <n v="1436"/>
    <x v="5"/>
    <n v="45"/>
    <n v="0"/>
    <n v="4"/>
    <n v="0.41611127209504489"/>
    <n v="203"/>
    <n v="3.4"/>
  </r>
  <r>
    <s v="2024-05-23"/>
    <x v="4"/>
    <x v="3"/>
    <x v="1"/>
    <n v="79"/>
    <n v="36340"/>
    <n v="14431"/>
    <x v="4"/>
    <n v="61"/>
    <n v="2"/>
    <n v="4.7"/>
    <n v="0.39711062190423774"/>
    <n v="460"/>
    <n v="13.166666666666666"/>
  </r>
  <r>
    <s v="2024-05-23"/>
    <x v="4"/>
    <x v="3"/>
    <x v="2"/>
    <n v="57"/>
    <n v="11628"/>
    <n v="4332"/>
    <x v="3"/>
    <n v="41"/>
    <n v="2"/>
    <n v="4.3"/>
    <n v="0.37254901960784315"/>
    <n v="204"/>
    <n v="14.25"/>
  </r>
  <r>
    <s v="2024-05-24"/>
    <x v="4"/>
    <x v="4"/>
    <x v="0"/>
    <n v="64"/>
    <n v="17088"/>
    <n v="7099"/>
    <x v="3"/>
    <n v="43"/>
    <n v="0"/>
    <n v="3.8"/>
    <n v="0.41543773408239698"/>
    <n v="267"/>
    <n v="16"/>
  </r>
  <r>
    <s v="2024-05-24"/>
    <x v="4"/>
    <x v="4"/>
    <x v="1"/>
    <n v="117"/>
    <n v="40833"/>
    <n v="16017"/>
    <x v="4"/>
    <n v="67"/>
    <n v="2"/>
    <n v="4.5999999999999996"/>
    <n v="0.39225626331643526"/>
    <n v="349"/>
    <n v="19.5"/>
  </r>
  <r>
    <s v="2024-05-24"/>
    <x v="4"/>
    <x v="4"/>
    <x v="2"/>
    <n v="62"/>
    <n v="21452"/>
    <n v="8142"/>
    <x v="2"/>
    <n v="58"/>
    <n v="0"/>
    <n v="3.8"/>
    <n v="0.37954503076636209"/>
    <n v="346"/>
    <n v="8.8571428571428577"/>
  </r>
  <r>
    <s v="2024-05-25"/>
    <x v="4"/>
    <x v="5"/>
    <x v="0"/>
    <n v="30"/>
    <n v="7350"/>
    <n v="2776"/>
    <x v="0"/>
    <n v="35"/>
    <n v="0"/>
    <n v="3.9"/>
    <n v="0.37768707482993197"/>
    <n v="245"/>
    <n v="10"/>
  </r>
  <r>
    <s v="2024-05-25"/>
    <x v="4"/>
    <x v="5"/>
    <x v="1"/>
    <n v="175"/>
    <n v="69650"/>
    <n v="22782"/>
    <x v="6"/>
    <n v="68"/>
    <n v="1"/>
    <n v="4.3"/>
    <n v="0.32709260588657574"/>
    <n v="398"/>
    <n v="19.444444444444443"/>
  </r>
  <r>
    <s v="2024-05-25"/>
    <x v="4"/>
    <x v="5"/>
    <x v="2"/>
    <n v="106"/>
    <n v="24380"/>
    <n v="7905"/>
    <x v="5"/>
    <n v="56"/>
    <n v="2"/>
    <n v="4.5999999999999996"/>
    <n v="0.32424118129614438"/>
    <n v="230"/>
    <n v="21.2"/>
  </r>
  <r>
    <s v="2024-05-26"/>
    <x v="4"/>
    <x v="6"/>
    <x v="0"/>
    <n v="61"/>
    <n v="12566"/>
    <n v="3609"/>
    <x v="0"/>
    <n v="52"/>
    <n v="0"/>
    <n v="4.3"/>
    <n v="0.28720356517587142"/>
    <n v="206"/>
    <n v="20.333333333333332"/>
  </r>
  <r>
    <s v="2024-05-26"/>
    <x v="4"/>
    <x v="6"/>
    <x v="1"/>
    <n v="182"/>
    <n v="51506"/>
    <n v="19848"/>
    <x v="7"/>
    <n v="75"/>
    <n v="2"/>
    <n v="4.0999999999999996"/>
    <n v="0.38535316273832176"/>
    <n v="283"/>
    <n v="22.75"/>
  </r>
  <r>
    <s v="2024-05-26"/>
    <x v="4"/>
    <x v="6"/>
    <x v="2"/>
    <n v="96"/>
    <n v="26400"/>
    <n v="8114"/>
    <x v="4"/>
    <n v="64"/>
    <n v="1"/>
    <n v="3.7"/>
    <n v="0.30734848484848487"/>
    <n v="275"/>
    <n v="16"/>
  </r>
  <r>
    <s v="2024-05-27"/>
    <x v="4"/>
    <x v="0"/>
    <x v="0"/>
    <n v="35"/>
    <n v="8435"/>
    <n v="3235"/>
    <x v="3"/>
    <n v="50"/>
    <n v="2"/>
    <n v="4.3"/>
    <n v="0.38352104327208064"/>
    <n v="241"/>
    <n v="8.75"/>
  </r>
  <r>
    <s v="2024-05-27"/>
    <x v="4"/>
    <x v="0"/>
    <x v="1"/>
    <n v="65"/>
    <n v="25480"/>
    <n v="8890"/>
    <x v="6"/>
    <n v="60"/>
    <n v="0"/>
    <n v="4.5"/>
    <n v="0.34890109890109888"/>
    <n v="392"/>
    <n v="7.2222222222222223"/>
  </r>
  <r>
    <s v="2024-05-27"/>
    <x v="4"/>
    <x v="0"/>
    <x v="2"/>
    <n v="44"/>
    <n v="10208"/>
    <n v="4175"/>
    <x v="4"/>
    <n v="65"/>
    <n v="3"/>
    <n v="4.5999999999999996"/>
    <n v="0.40899294670846392"/>
    <n v="232"/>
    <n v="7.333333333333333"/>
  </r>
  <r>
    <s v="2024-05-28"/>
    <x v="4"/>
    <x v="1"/>
    <x v="0"/>
    <n v="40"/>
    <n v="8800"/>
    <n v="3244"/>
    <x v="0"/>
    <n v="42"/>
    <n v="1"/>
    <n v="4.4000000000000004"/>
    <n v="0.36863636363636365"/>
    <n v="220"/>
    <n v="13.333333333333334"/>
  </r>
  <r>
    <s v="2024-05-28"/>
    <x v="4"/>
    <x v="1"/>
    <x v="1"/>
    <n v="50"/>
    <n v="19300"/>
    <n v="6508"/>
    <x v="1"/>
    <n v="53"/>
    <n v="4"/>
    <n v="3.7"/>
    <n v="0.33720207253886009"/>
    <n v="386"/>
    <n v="5"/>
  </r>
  <r>
    <s v="2024-05-28"/>
    <x v="4"/>
    <x v="1"/>
    <x v="2"/>
    <n v="57"/>
    <n v="13737"/>
    <n v="4439"/>
    <x v="3"/>
    <n v="46"/>
    <n v="2"/>
    <n v="4.3"/>
    <n v="0.3231418795952537"/>
    <n v="241"/>
    <n v="14.25"/>
  </r>
  <r>
    <s v="2024-05-29"/>
    <x v="4"/>
    <x v="2"/>
    <x v="0"/>
    <n v="32"/>
    <n v="8000"/>
    <n v="2678"/>
    <x v="0"/>
    <n v="45"/>
    <n v="1"/>
    <n v="4.2"/>
    <n v="0.33474999999999999"/>
    <n v="250"/>
    <n v="10.666666666666666"/>
  </r>
  <r>
    <s v="2024-05-29"/>
    <x v="4"/>
    <x v="2"/>
    <x v="1"/>
    <n v="48"/>
    <n v="14400"/>
    <n v="6000"/>
    <x v="7"/>
    <n v="50"/>
    <n v="0"/>
    <n v="3.8"/>
    <n v="0.41666666666666669"/>
    <n v="300"/>
    <n v="6"/>
  </r>
  <r>
    <s v="2024-05-29"/>
    <x v="4"/>
    <x v="2"/>
    <x v="2"/>
    <n v="60"/>
    <n v="12840"/>
    <n v="3987"/>
    <x v="3"/>
    <n v="45"/>
    <n v="0"/>
    <n v="4.2"/>
    <n v="0.31051401869158879"/>
    <n v="214"/>
    <n v="15"/>
  </r>
  <r>
    <s v="2024-05-30"/>
    <x v="4"/>
    <x v="3"/>
    <x v="0"/>
    <n v="39"/>
    <n v="8112"/>
    <n v="2395"/>
    <x v="3"/>
    <n v="38"/>
    <n v="0"/>
    <n v="4.4000000000000004"/>
    <n v="0.295241617357002"/>
    <n v="208"/>
    <n v="9.75"/>
  </r>
  <r>
    <s v="2024-05-30"/>
    <x v="4"/>
    <x v="3"/>
    <x v="1"/>
    <n v="69"/>
    <n v="20217"/>
    <n v="6265"/>
    <x v="4"/>
    <n v="57"/>
    <n v="4"/>
    <n v="4.5"/>
    <n v="0.30988771825691253"/>
    <n v="293"/>
    <n v="11.5"/>
  </r>
  <r>
    <s v="2024-05-30"/>
    <x v="4"/>
    <x v="3"/>
    <x v="2"/>
    <n v="62"/>
    <n v="15252"/>
    <n v="5308"/>
    <x v="2"/>
    <n v="64"/>
    <n v="2"/>
    <n v="3.6"/>
    <n v="0.34801993181222135"/>
    <n v="246"/>
    <n v="8.8571428571428577"/>
  </r>
  <r>
    <s v="2024-05-31"/>
    <x v="4"/>
    <x v="4"/>
    <x v="0"/>
    <n v="37"/>
    <n v="9916"/>
    <n v="3300"/>
    <x v="0"/>
    <n v="45"/>
    <n v="1"/>
    <n v="4.2"/>
    <n v="0.33279548204921339"/>
    <n v="268"/>
    <n v="12.333333333333334"/>
  </r>
  <r>
    <s v="2024-05-31"/>
    <x v="4"/>
    <x v="4"/>
    <x v="1"/>
    <n v="171"/>
    <n v="62586"/>
    <n v="25218"/>
    <x v="6"/>
    <n v="68"/>
    <n v="2"/>
    <n v="4.7"/>
    <n v="0.40293356341673858"/>
    <n v="366"/>
    <n v="19"/>
  </r>
  <r>
    <s v="2024-05-31"/>
    <x v="4"/>
    <x v="4"/>
    <x v="2"/>
    <n v="86"/>
    <n v="24080"/>
    <n v="7415"/>
    <x v="4"/>
    <n v="51"/>
    <n v="2"/>
    <n v="3.6"/>
    <n v="0.30793189368770763"/>
    <n v="280"/>
    <n v="14.333333333333334"/>
  </r>
  <r>
    <s v="2024-06-01"/>
    <x v="5"/>
    <x v="5"/>
    <x v="0"/>
    <n v="58"/>
    <n v="12064"/>
    <n v="3493"/>
    <x v="5"/>
    <n v="51"/>
    <n v="1"/>
    <n v="4.4000000000000004"/>
    <n v="0.28953912466843501"/>
    <n v="208"/>
    <n v="11.6"/>
  </r>
  <r>
    <s v="2024-06-01"/>
    <x v="5"/>
    <x v="5"/>
    <x v="1"/>
    <n v="141"/>
    <n v="53439"/>
    <n v="20854"/>
    <x v="4"/>
    <n v="63"/>
    <n v="4"/>
    <n v="4.7"/>
    <n v="0.39023933831097141"/>
    <n v="379"/>
    <n v="23.5"/>
  </r>
  <r>
    <s v="2024-06-01"/>
    <x v="5"/>
    <x v="5"/>
    <x v="2"/>
    <n v="69"/>
    <n v="18423"/>
    <n v="5312"/>
    <x v="5"/>
    <n v="52"/>
    <n v="0"/>
    <n v="3.8"/>
    <n v="0.28833523313249743"/>
    <n v="267"/>
    <n v="13.8"/>
  </r>
  <r>
    <s v="2024-06-02"/>
    <x v="5"/>
    <x v="6"/>
    <x v="0"/>
    <n v="32"/>
    <n v="7456"/>
    <n v="2752"/>
    <x v="5"/>
    <n v="47"/>
    <n v="2"/>
    <n v="4.4000000000000004"/>
    <n v="0.36909871244635195"/>
    <n v="233"/>
    <n v="6.4"/>
  </r>
  <r>
    <s v="2024-06-02"/>
    <x v="5"/>
    <x v="6"/>
    <x v="1"/>
    <n v="134"/>
    <n v="42880"/>
    <n v="17494"/>
    <x v="7"/>
    <n v="60"/>
    <n v="3"/>
    <n v="3.9"/>
    <n v="0.40797574626865674"/>
    <n v="320"/>
    <n v="16.75"/>
  </r>
  <r>
    <s v="2024-06-02"/>
    <x v="5"/>
    <x v="6"/>
    <x v="2"/>
    <n v="33"/>
    <n v="6699"/>
    <n v="2553"/>
    <x v="5"/>
    <n v="57"/>
    <n v="2"/>
    <n v="4.5"/>
    <n v="0.38110165696372594"/>
    <n v="203"/>
    <n v="6.6"/>
  </r>
  <r>
    <s v="2024-06-03"/>
    <x v="5"/>
    <x v="0"/>
    <x v="0"/>
    <n v="13"/>
    <n v="2522"/>
    <n v="1027"/>
    <x v="5"/>
    <n v="52"/>
    <n v="0"/>
    <n v="4.0999999999999996"/>
    <n v="0.40721649484536082"/>
    <n v="194"/>
    <n v="2.6"/>
  </r>
  <r>
    <s v="2024-06-03"/>
    <x v="5"/>
    <x v="0"/>
    <x v="1"/>
    <n v="88"/>
    <n v="34496"/>
    <n v="14196"/>
    <x v="6"/>
    <n v="71"/>
    <n v="2"/>
    <n v="4.4000000000000004"/>
    <n v="0.41152597402597402"/>
    <n v="392"/>
    <n v="9.7777777777777786"/>
  </r>
  <r>
    <s v="2024-06-03"/>
    <x v="5"/>
    <x v="0"/>
    <x v="2"/>
    <n v="22"/>
    <n v="7634"/>
    <n v="2319"/>
    <x v="4"/>
    <n v="56"/>
    <n v="0"/>
    <n v="4.0999999999999996"/>
    <n v="0.30377259627980091"/>
    <n v="347"/>
    <n v="3.6666666666666665"/>
  </r>
  <r>
    <s v="2024-06-04"/>
    <x v="5"/>
    <x v="1"/>
    <x v="0"/>
    <n v="30"/>
    <n v="7560"/>
    <n v="3118"/>
    <x v="5"/>
    <n v="40"/>
    <n v="0"/>
    <n v="4.0999999999999996"/>
    <n v="0.41243386243386243"/>
    <n v="252"/>
    <n v="6"/>
  </r>
  <r>
    <s v="2024-06-04"/>
    <x v="5"/>
    <x v="1"/>
    <x v="1"/>
    <n v="43"/>
    <n v="14620"/>
    <n v="4280"/>
    <x v="4"/>
    <n v="53"/>
    <n v="4"/>
    <n v="4.5"/>
    <n v="0.292749658002736"/>
    <n v="340"/>
    <n v="7.166666666666667"/>
  </r>
  <r>
    <s v="2024-06-04"/>
    <x v="5"/>
    <x v="1"/>
    <x v="2"/>
    <n v="26"/>
    <n v="7644"/>
    <n v="2876"/>
    <x v="3"/>
    <n v="44"/>
    <n v="3"/>
    <n v="3.9"/>
    <n v="0.37624280481423339"/>
    <n v="294"/>
    <n v="6.5"/>
  </r>
  <r>
    <s v="2024-06-05"/>
    <x v="5"/>
    <x v="2"/>
    <x v="0"/>
    <n v="26"/>
    <n v="5564"/>
    <n v="1861"/>
    <x v="0"/>
    <n v="54"/>
    <n v="2"/>
    <n v="4.3"/>
    <n v="0.33447160316319197"/>
    <n v="214"/>
    <n v="8.6666666666666661"/>
  </r>
  <r>
    <s v="2024-06-05"/>
    <x v="5"/>
    <x v="2"/>
    <x v="1"/>
    <n v="82"/>
    <n v="34112"/>
    <n v="10836"/>
    <x v="6"/>
    <n v="60"/>
    <n v="1"/>
    <n v="3.8"/>
    <n v="0.31765947467166977"/>
    <n v="416"/>
    <n v="9.1111111111111107"/>
  </r>
  <r>
    <s v="2024-06-05"/>
    <x v="5"/>
    <x v="2"/>
    <x v="2"/>
    <n v="45"/>
    <n v="13815"/>
    <n v="4274"/>
    <x v="3"/>
    <n v="62"/>
    <n v="2"/>
    <n v="3.9"/>
    <n v="0.30937386898298952"/>
    <n v="307"/>
    <n v="11.25"/>
  </r>
  <r>
    <s v="2024-06-06"/>
    <x v="5"/>
    <x v="3"/>
    <x v="0"/>
    <n v="26"/>
    <n v="5096"/>
    <n v="1558"/>
    <x v="5"/>
    <n v="44"/>
    <n v="1"/>
    <n v="4"/>
    <n v="0.30572998430141285"/>
    <n v="196"/>
    <n v="5.2"/>
  </r>
  <r>
    <s v="2024-06-06"/>
    <x v="5"/>
    <x v="3"/>
    <x v="1"/>
    <n v="88"/>
    <n v="36696"/>
    <n v="15096"/>
    <x v="1"/>
    <n v="49"/>
    <n v="3"/>
    <n v="3.8"/>
    <n v="0.41137998691955524"/>
    <n v="417"/>
    <n v="8.8000000000000007"/>
  </r>
  <r>
    <s v="2024-06-06"/>
    <x v="5"/>
    <x v="3"/>
    <x v="2"/>
    <n v="46"/>
    <n v="11822"/>
    <n v="3695"/>
    <x v="5"/>
    <n v="50"/>
    <n v="1"/>
    <n v="3.8"/>
    <n v="0.31255286753510403"/>
    <n v="257"/>
    <n v="9.1999999999999993"/>
  </r>
  <r>
    <s v="2024-06-07"/>
    <x v="5"/>
    <x v="4"/>
    <x v="0"/>
    <n v="39"/>
    <n v="7956"/>
    <n v="2446"/>
    <x v="5"/>
    <n v="55"/>
    <n v="2"/>
    <n v="4.4000000000000004"/>
    <n v="0.30744092508798393"/>
    <n v="204"/>
    <n v="7.8"/>
  </r>
  <r>
    <s v="2024-06-07"/>
    <x v="5"/>
    <x v="4"/>
    <x v="1"/>
    <n v="112"/>
    <n v="40208"/>
    <n v="14211"/>
    <x v="1"/>
    <n v="56"/>
    <n v="4"/>
    <n v="4.4000000000000004"/>
    <n v="0.35343712693991247"/>
    <n v="359"/>
    <n v="11.2"/>
  </r>
  <r>
    <s v="2024-06-07"/>
    <x v="5"/>
    <x v="4"/>
    <x v="2"/>
    <n v="57"/>
    <n v="13680"/>
    <n v="3925"/>
    <x v="5"/>
    <n v="59"/>
    <n v="3"/>
    <n v="4"/>
    <n v="0.28691520467836257"/>
    <n v="240"/>
    <n v="11.4"/>
  </r>
  <r>
    <s v="2024-06-08"/>
    <x v="5"/>
    <x v="5"/>
    <x v="0"/>
    <n v="28"/>
    <n v="5768"/>
    <n v="2052"/>
    <x v="0"/>
    <n v="38"/>
    <n v="0"/>
    <n v="4.0999999999999996"/>
    <n v="0.35575589459084606"/>
    <n v="206"/>
    <n v="9.3333333333333339"/>
  </r>
  <r>
    <s v="2024-06-08"/>
    <x v="5"/>
    <x v="5"/>
    <x v="1"/>
    <n v="164"/>
    <n v="77900"/>
    <n v="24065"/>
    <x v="1"/>
    <n v="58"/>
    <n v="3"/>
    <n v="4.2"/>
    <n v="0.3089216944801027"/>
    <n v="475"/>
    <n v="16.399999999999999"/>
  </r>
  <r>
    <s v="2024-06-08"/>
    <x v="5"/>
    <x v="5"/>
    <x v="2"/>
    <n v="67"/>
    <n v="14539"/>
    <n v="5423"/>
    <x v="2"/>
    <n v="48"/>
    <n v="1"/>
    <n v="4.3"/>
    <n v="0.37299676731549625"/>
    <n v="217"/>
    <n v="9.5714285714285712"/>
  </r>
  <r>
    <s v="2024-06-09"/>
    <x v="5"/>
    <x v="6"/>
    <x v="0"/>
    <n v="40"/>
    <n v="9880"/>
    <n v="2908"/>
    <x v="0"/>
    <n v="54"/>
    <n v="2"/>
    <n v="3.8"/>
    <n v="0.294331983805668"/>
    <n v="247"/>
    <n v="13.333333333333334"/>
  </r>
  <r>
    <s v="2024-06-09"/>
    <x v="5"/>
    <x v="6"/>
    <x v="1"/>
    <n v="111"/>
    <n v="49506"/>
    <n v="14957"/>
    <x v="1"/>
    <n v="51"/>
    <n v="3"/>
    <n v="4.5999999999999996"/>
    <n v="0.30212499495010708"/>
    <n v="446"/>
    <n v="11.1"/>
  </r>
  <r>
    <s v="2024-06-09"/>
    <x v="5"/>
    <x v="6"/>
    <x v="2"/>
    <n v="72"/>
    <n v="20808"/>
    <n v="6021"/>
    <x v="2"/>
    <n v="44"/>
    <n v="1"/>
    <n v="4.2"/>
    <n v="0.28935986159169552"/>
    <n v="289"/>
    <n v="10.285714285714286"/>
  </r>
  <r>
    <s v="2024-06-10"/>
    <x v="5"/>
    <x v="0"/>
    <x v="0"/>
    <n v="24"/>
    <n v="5424"/>
    <n v="1700"/>
    <x v="5"/>
    <n v="46"/>
    <n v="2"/>
    <n v="4.0999999999999996"/>
    <n v="0.31342182890855458"/>
    <n v="226"/>
    <n v="4.8"/>
  </r>
  <r>
    <s v="2024-06-10"/>
    <x v="5"/>
    <x v="0"/>
    <x v="1"/>
    <n v="89"/>
    <n v="33642"/>
    <n v="10499"/>
    <x v="2"/>
    <n v="45"/>
    <n v="2"/>
    <n v="4.2"/>
    <n v="0.31208013792283457"/>
    <n v="378"/>
    <n v="12.714285714285714"/>
  </r>
  <r>
    <s v="2024-06-10"/>
    <x v="5"/>
    <x v="0"/>
    <x v="2"/>
    <n v="45"/>
    <n v="15660"/>
    <n v="4410"/>
    <x v="2"/>
    <n v="48"/>
    <n v="1"/>
    <n v="4"/>
    <n v="0.28160919540229884"/>
    <n v="348"/>
    <n v="6.4285714285714288"/>
  </r>
  <r>
    <s v="2024-06-11"/>
    <x v="5"/>
    <x v="1"/>
    <x v="0"/>
    <n v="12"/>
    <n v="3132"/>
    <n v="1229"/>
    <x v="0"/>
    <n v="42"/>
    <n v="1"/>
    <n v="4"/>
    <n v="0.39240102171136654"/>
    <n v="261"/>
    <n v="4"/>
  </r>
  <r>
    <s v="2024-06-11"/>
    <x v="5"/>
    <x v="1"/>
    <x v="1"/>
    <n v="45"/>
    <n v="21285"/>
    <n v="6026"/>
    <x v="6"/>
    <n v="66"/>
    <n v="3"/>
    <n v="4.3"/>
    <n v="0.28311017148226453"/>
    <n v="473"/>
    <n v="5"/>
  </r>
  <r>
    <s v="2024-06-11"/>
    <x v="5"/>
    <x v="1"/>
    <x v="2"/>
    <n v="20"/>
    <n v="4360"/>
    <n v="1760"/>
    <x v="5"/>
    <n v="51"/>
    <n v="1"/>
    <n v="4.2"/>
    <n v="0.40366972477064222"/>
    <n v="218"/>
    <n v="4"/>
  </r>
  <r>
    <s v="2024-06-12"/>
    <x v="5"/>
    <x v="2"/>
    <x v="0"/>
    <n v="38"/>
    <n v="7942"/>
    <n v="2909"/>
    <x v="3"/>
    <n v="40"/>
    <n v="1"/>
    <n v="4.3"/>
    <n v="0.36628053387056159"/>
    <n v="209"/>
    <n v="9.5"/>
  </r>
  <r>
    <s v="2024-06-12"/>
    <x v="5"/>
    <x v="2"/>
    <x v="1"/>
    <n v="55"/>
    <n v="23155"/>
    <n v="8506"/>
    <x v="1"/>
    <n v="71"/>
    <n v="1"/>
    <n v="4.3"/>
    <n v="0.36735046426257828"/>
    <n v="421"/>
    <n v="5.5"/>
  </r>
  <r>
    <s v="2024-06-12"/>
    <x v="5"/>
    <x v="2"/>
    <x v="2"/>
    <n v="32"/>
    <n v="8288"/>
    <n v="2905"/>
    <x v="5"/>
    <n v="46"/>
    <n v="0"/>
    <n v="3.6"/>
    <n v="0.35050675675675674"/>
    <n v="259"/>
    <n v="6.4"/>
  </r>
  <r>
    <s v="2024-06-13"/>
    <x v="5"/>
    <x v="3"/>
    <x v="0"/>
    <n v="42"/>
    <n v="10710"/>
    <n v="3747"/>
    <x v="5"/>
    <n v="50"/>
    <n v="2"/>
    <n v="4.4000000000000004"/>
    <n v="0.34985994397759101"/>
    <n v="255"/>
    <n v="8.4"/>
  </r>
  <r>
    <s v="2024-06-13"/>
    <x v="5"/>
    <x v="3"/>
    <x v="1"/>
    <n v="82"/>
    <n v="27962"/>
    <n v="8141"/>
    <x v="4"/>
    <n v="52"/>
    <n v="4"/>
    <n v="3.6"/>
    <n v="0.2911451255275016"/>
    <n v="341"/>
    <n v="13.666666666666666"/>
  </r>
  <r>
    <s v="2024-06-13"/>
    <x v="5"/>
    <x v="3"/>
    <x v="2"/>
    <n v="33"/>
    <n v="10824"/>
    <n v="3628"/>
    <x v="5"/>
    <n v="49"/>
    <n v="2"/>
    <n v="3.7"/>
    <n v="0.33518107908351813"/>
    <n v="328"/>
    <n v="6.6"/>
  </r>
  <r>
    <s v="2024-06-14"/>
    <x v="5"/>
    <x v="4"/>
    <x v="0"/>
    <n v="58"/>
    <n v="15776"/>
    <n v="5657"/>
    <x v="3"/>
    <n v="43"/>
    <n v="0"/>
    <n v="3.9"/>
    <n v="0.35858265720081134"/>
    <n v="272"/>
    <n v="14.5"/>
  </r>
  <r>
    <s v="2024-06-14"/>
    <x v="5"/>
    <x v="4"/>
    <x v="1"/>
    <n v="109"/>
    <n v="40766"/>
    <n v="15874"/>
    <x v="6"/>
    <n v="61"/>
    <n v="2"/>
    <n v="4.5"/>
    <n v="0.38939312171907964"/>
    <n v="374"/>
    <n v="12.111111111111111"/>
  </r>
  <r>
    <s v="2024-06-14"/>
    <x v="5"/>
    <x v="4"/>
    <x v="2"/>
    <n v="54"/>
    <n v="14256"/>
    <n v="4576"/>
    <x v="3"/>
    <n v="45"/>
    <n v="3"/>
    <n v="4.4000000000000004"/>
    <n v="0.32098765432098764"/>
    <n v="264"/>
    <n v="13.5"/>
  </r>
  <r>
    <s v="2024-06-15"/>
    <x v="5"/>
    <x v="5"/>
    <x v="0"/>
    <n v="36"/>
    <n v="9720"/>
    <n v="3017"/>
    <x v="0"/>
    <n v="40"/>
    <n v="2"/>
    <n v="4.2"/>
    <n v="0.31039094650205762"/>
    <n v="270"/>
    <n v="12"/>
  </r>
  <r>
    <s v="2024-06-15"/>
    <x v="5"/>
    <x v="5"/>
    <x v="1"/>
    <n v="159"/>
    <n v="67734"/>
    <n v="22223"/>
    <x v="2"/>
    <n v="54"/>
    <n v="4"/>
    <n v="3.5"/>
    <n v="0.32809224318658281"/>
    <n v="426"/>
    <n v="22.714285714285715"/>
  </r>
  <r>
    <s v="2024-06-15"/>
    <x v="5"/>
    <x v="5"/>
    <x v="2"/>
    <n v="64"/>
    <n v="14208"/>
    <n v="5392"/>
    <x v="3"/>
    <n v="43"/>
    <n v="3"/>
    <n v="3.7"/>
    <n v="0.37950450450450451"/>
    <n v="222"/>
    <n v="16"/>
  </r>
  <r>
    <s v="2024-06-16"/>
    <x v="5"/>
    <x v="6"/>
    <x v="0"/>
    <n v="40"/>
    <n v="8440"/>
    <n v="3057"/>
    <x v="5"/>
    <n v="49"/>
    <n v="0"/>
    <n v="4.2"/>
    <n v="0.36220379146919429"/>
    <n v="211"/>
    <n v="8"/>
  </r>
  <r>
    <s v="2024-06-16"/>
    <x v="5"/>
    <x v="6"/>
    <x v="1"/>
    <n v="80"/>
    <n v="26560"/>
    <n v="7991"/>
    <x v="6"/>
    <n v="63"/>
    <n v="2"/>
    <n v="4.3"/>
    <n v="0.30086596385542169"/>
    <n v="332"/>
    <n v="8.8888888888888893"/>
  </r>
  <r>
    <s v="2024-06-16"/>
    <x v="5"/>
    <x v="6"/>
    <x v="2"/>
    <n v="40"/>
    <n v="13720"/>
    <n v="4513"/>
    <x v="3"/>
    <n v="59"/>
    <n v="2"/>
    <n v="3.7"/>
    <n v="0.32893586005830905"/>
    <n v="343"/>
    <n v="10"/>
  </r>
  <r>
    <s v="2024-06-17"/>
    <x v="5"/>
    <x v="0"/>
    <x v="0"/>
    <n v="35"/>
    <n v="7560"/>
    <n v="2930"/>
    <x v="3"/>
    <n v="48"/>
    <n v="0"/>
    <n v="4.4000000000000004"/>
    <n v="0.38756613756613756"/>
    <n v="216"/>
    <n v="8.75"/>
  </r>
  <r>
    <s v="2024-06-17"/>
    <x v="5"/>
    <x v="0"/>
    <x v="1"/>
    <n v="58"/>
    <n v="25172"/>
    <n v="7477"/>
    <x v="2"/>
    <n v="60"/>
    <n v="4"/>
    <n v="3.8"/>
    <n v="0.29703638963928175"/>
    <n v="434"/>
    <n v="8.2857142857142865"/>
  </r>
  <r>
    <s v="2024-06-17"/>
    <x v="5"/>
    <x v="0"/>
    <x v="2"/>
    <n v="30"/>
    <n v="9930"/>
    <n v="3894"/>
    <x v="2"/>
    <n v="46"/>
    <n v="2"/>
    <n v="4"/>
    <n v="0.39214501510574018"/>
    <n v="331"/>
    <n v="4.2857142857142856"/>
  </r>
  <r>
    <s v="2024-06-18"/>
    <x v="5"/>
    <x v="1"/>
    <x v="0"/>
    <n v="21"/>
    <n v="3969"/>
    <n v="1372"/>
    <x v="0"/>
    <n v="41"/>
    <n v="1"/>
    <n v="3.9"/>
    <n v="0.34567901234567899"/>
    <n v="189"/>
    <n v="7"/>
  </r>
  <r>
    <s v="2024-06-18"/>
    <x v="5"/>
    <x v="1"/>
    <x v="1"/>
    <n v="38"/>
    <n v="12426"/>
    <n v="4295"/>
    <x v="6"/>
    <n v="50"/>
    <n v="3"/>
    <n v="4.7"/>
    <n v="0.34564622565588282"/>
    <n v="327"/>
    <n v="4.2222222222222223"/>
  </r>
  <r>
    <s v="2024-06-18"/>
    <x v="5"/>
    <x v="1"/>
    <x v="2"/>
    <n v="46"/>
    <n v="15272"/>
    <n v="4900"/>
    <x v="4"/>
    <n v="50"/>
    <n v="1"/>
    <n v="4"/>
    <n v="0.32084861183865898"/>
    <n v="332"/>
    <n v="7.666666666666667"/>
  </r>
  <r>
    <s v="2024-06-19"/>
    <x v="5"/>
    <x v="2"/>
    <x v="0"/>
    <n v="19"/>
    <n v="5206"/>
    <n v="1746"/>
    <x v="5"/>
    <n v="39"/>
    <n v="0"/>
    <n v="4.4000000000000004"/>
    <n v="0.33538225124855936"/>
    <n v="274"/>
    <n v="3.8"/>
  </r>
  <r>
    <s v="2024-06-19"/>
    <x v="5"/>
    <x v="2"/>
    <x v="1"/>
    <n v="61"/>
    <n v="23546"/>
    <n v="8708"/>
    <x v="7"/>
    <n v="47"/>
    <n v="1"/>
    <n v="4.3"/>
    <n v="0.36982927036439311"/>
    <n v="386"/>
    <n v="7.625"/>
  </r>
  <r>
    <s v="2024-06-19"/>
    <x v="5"/>
    <x v="2"/>
    <x v="2"/>
    <n v="50"/>
    <n v="13500"/>
    <n v="4891"/>
    <x v="4"/>
    <n v="42"/>
    <n v="2"/>
    <n v="4"/>
    <n v="0.36229629629629628"/>
    <n v="270"/>
    <n v="8.3333333333333339"/>
  </r>
  <r>
    <s v="2024-06-20"/>
    <x v="5"/>
    <x v="3"/>
    <x v="0"/>
    <n v="21"/>
    <n v="4494"/>
    <n v="1579"/>
    <x v="5"/>
    <n v="36"/>
    <n v="2"/>
    <n v="3.8"/>
    <n v="0.35135736537605694"/>
    <n v="214"/>
    <n v="4.2"/>
  </r>
  <r>
    <s v="2024-06-20"/>
    <x v="5"/>
    <x v="3"/>
    <x v="1"/>
    <n v="64"/>
    <n v="27008"/>
    <n v="7715"/>
    <x v="4"/>
    <n v="54"/>
    <n v="3"/>
    <n v="4.4000000000000004"/>
    <n v="0.28565610189573459"/>
    <n v="422"/>
    <n v="10.666666666666666"/>
  </r>
  <r>
    <s v="2024-06-20"/>
    <x v="5"/>
    <x v="3"/>
    <x v="2"/>
    <n v="44"/>
    <n v="12980"/>
    <n v="4210"/>
    <x v="4"/>
    <n v="47"/>
    <n v="0"/>
    <n v="4.0999999999999996"/>
    <n v="0.32434514637904466"/>
    <n v="295"/>
    <n v="7.333333333333333"/>
  </r>
  <r>
    <s v="2024-06-21"/>
    <x v="5"/>
    <x v="4"/>
    <x v="0"/>
    <n v="54"/>
    <n v="10206"/>
    <n v="3606"/>
    <x v="5"/>
    <n v="38"/>
    <n v="1"/>
    <n v="4.4000000000000004"/>
    <n v="0.35332157554379778"/>
    <n v="189"/>
    <n v="10.8"/>
  </r>
  <r>
    <s v="2024-06-21"/>
    <x v="5"/>
    <x v="4"/>
    <x v="1"/>
    <n v="89"/>
    <n v="33464"/>
    <n v="10601"/>
    <x v="2"/>
    <n v="60"/>
    <n v="3"/>
    <n v="3.8"/>
    <n v="0.31678819029404731"/>
    <n v="376"/>
    <n v="12.714285714285714"/>
  </r>
  <r>
    <s v="2024-06-21"/>
    <x v="5"/>
    <x v="4"/>
    <x v="2"/>
    <n v="44"/>
    <n v="9460"/>
    <n v="3045"/>
    <x v="5"/>
    <n v="48"/>
    <n v="1"/>
    <n v="4.0999999999999996"/>
    <n v="0.32188160676532768"/>
    <n v="215"/>
    <n v="8.8000000000000007"/>
  </r>
  <r>
    <s v="2024-06-22"/>
    <x v="5"/>
    <x v="5"/>
    <x v="0"/>
    <n v="36"/>
    <n v="9612"/>
    <n v="3791"/>
    <x v="3"/>
    <n v="55"/>
    <n v="1"/>
    <n v="3.8"/>
    <n v="0.39440282979608821"/>
    <n v="267"/>
    <n v="9"/>
  </r>
  <r>
    <s v="2024-06-22"/>
    <x v="5"/>
    <x v="5"/>
    <x v="1"/>
    <n v="116"/>
    <n v="43616"/>
    <n v="14062"/>
    <x v="2"/>
    <n v="73"/>
    <n v="0"/>
    <n v="4.3"/>
    <n v="0.3224046221570066"/>
    <n v="376"/>
    <n v="16.571428571428573"/>
  </r>
  <r>
    <s v="2024-06-22"/>
    <x v="5"/>
    <x v="5"/>
    <x v="2"/>
    <n v="60"/>
    <n v="14040"/>
    <n v="3958"/>
    <x v="3"/>
    <n v="65"/>
    <n v="2"/>
    <n v="4.5"/>
    <n v="0.28190883190883192"/>
    <n v="234"/>
    <n v="15"/>
  </r>
  <r>
    <s v="2024-06-23"/>
    <x v="5"/>
    <x v="6"/>
    <x v="0"/>
    <n v="37"/>
    <n v="9361"/>
    <n v="3705"/>
    <x v="0"/>
    <n v="51"/>
    <n v="2"/>
    <n v="4.2"/>
    <n v="0.39579104796496101"/>
    <n v="253"/>
    <n v="12.333333333333334"/>
  </r>
  <r>
    <s v="2024-06-23"/>
    <x v="5"/>
    <x v="6"/>
    <x v="1"/>
    <n v="85"/>
    <n v="38335"/>
    <n v="11262"/>
    <x v="1"/>
    <n v="56"/>
    <n v="1"/>
    <n v="4.3"/>
    <n v="0.29377853136820137"/>
    <n v="451"/>
    <n v="8.5"/>
  </r>
  <r>
    <s v="2024-06-23"/>
    <x v="5"/>
    <x v="6"/>
    <x v="2"/>
    <n v="47"/>
    <n v="15134"/>
    <n v="4730"/>
    <x v="3"/>
    <n v="51"/>
    <n v="3"/>
    <n v="3.8"/>
    <n v="0.31254129774018768"/>
    <n v="322"/>
    <n v="11.75"/>
  </r>
  <r>
    <s v="2024-06-24"/>
    <x v="5"/>
    <x v="0"/>
    <x v="0"/>
    <n v="35"/>
    <n v="8365"/>
    <n v="3375"/>
    <x v="5"/>
    <n v="38"/>
    <n v="0"/>
    <n v="4.0999999999999996"/>
    <n v="0.40346682606096834"/>
    <n v="239"/>
    <n v="7"/>
  </r>
  <r>
    <s v="2024-06-24"/>
    <x v="5"/>
    <x v="0"/>
    <x v="1"/>
    <n v="79"/>
    <n v="25438"/>
    <n v="9276"/>
    <x v="6"/>
    <n v="58"/>
    <n v="2"/>
    <n v="4.2"/>
    <n v="0.36465130906517806"/>
    <n v="322"/>
    <n v="8.7777777777777786"/>
  </r>
  <r>
    <s v="2024-06-24"/>
    <x v="5"/>
    <x v="0"/>
    <x v="2"/>
    <n v="22"/>
    <n v="6732"/>
    <n v="2624"/>
    <x v="2"/>
    <n v="41"/>
    <n v="1"/>
    <n v="3.7"/>
    <n v="0.38978015448603681"/>
    <n v="306"/>
    <n v="3.1428571428571428"/>
  </r>
  <r>
    <s v="2024-06-25"/>
    <x v="5"/>
    <x v="1"/>
    <x v="0"/>
    <n v="32"/>
    <n v="7008"/>
    <n v="2583"/>
    <x v="0"/>
    <n v="49"/>
    <n v="0"/>
    <n v="4.2"/>
    <n v="0.36857876712328769"/>
    <n v="219"/>
    <n v="10.666666666666666"/>
  </r>
  <r>
    <s v="2024-06-25"/>
    <x v="5"/>
    <x v="1"/>
    <x v="1"/>
    <n v="49"/>
    <n v="14994"/>
    <n v="4759"/>
    <x v="4"/>
    <n v="47"/>
    <n v="2"/>
    <n v="4.7"/>
    <n v="0.31739362411631317"/>
    <n v="306"/>
    <n v="8.1666666666666661"/>
  </r>
  <r>
    <s v="2024-06-25"/>
    <x v="5"/>
    <x v="1"/>
    <x v="2"/>
    <n v="49"/>
    <n v="12593"/>
    <n v="5220"/>
    <x v="2"/>
    <n v="52"/>
    <n v="2"/>
    <n v="4.0999999999999996"/>
    <n v="0.41451600095291036"/>
    <n v="257"/>
    <n v="7"/>
  </r>
  <r>
    <s v="2024-06-26"/>
    <x v="5"/>
    <x v="2"/>
    <x v="0"/>
    <n v="19"/>
    <n v="4275"/>
    <n v="1464"/>
    <x v="5"/>
    <n v="41"/>
    <n v="1"/>
    <n v="4.2"/>
    <n v="0.34245614035087718"/>
    <n v="225"/>
    <n v="3.8"/>
  </r>
  <r>
    <s v="2024-06-26"/>
    <x v="5"/>
    <x v="2"/>
    <x v="1"/>
    <n v="40"/>
    <n v="17560"/>
    <n v="6857"/>
    <x v="7"/>
    <n v="49"/>
    <n v="3"/>
    <n v="4.3"/>
    <n v="0.39048974943052389"/>
    <n v="439"/>
    <n v="5"/>
  </r>
  <r>
    <s v="2024-06-26"/>
    <x v="5"/>
    <x v="2"/>
    <x v="2"/>
    <n v="40"/>
    <n v="10000"/>
    <n v="3326"/>
    <x v="2"/>
    <n v="52"/>
    <n v="1"/>
    <n v="4.5"/>
    <n v="0.33260000000000001"/>
    <n v="250"/>
    <n v="5.7142857142857144"/>
  </r>
  <r>
    <s v="2024-06-27"/>
    <x v="5"/>
    <x v="3"/>
    <x v="0"/>
    <n v="15"/>
    <n v="2700"/>
    <n v="905"/>
    <x v="3"/>
    <n v="40"/>
    <n v="0"/>
    <n v="4.4000000000000004"/>
    <n v="0.3351851851851852"/>
    <n v="180"/>
    <n v="3.75"/>
  </r>
  <r>
    <s v="2024-06-27"/>
    <x v="5"/>
    <x v="3"/>
    <x v="1"/>
    <n v="88"/>
    <n v="40568"/>
    <n v="15004"/>
    <x v="6"/>
    <n v="65"/>
    <n v="3"/>
    <n v="4.5"/>
    <n v="0.36984815618221256"/>
    <n v="461"/>
    <n v="9.7777777777777786"/>
  </r>
  <r>
    <s v="2024-06-27"/>
    <x v="5"/>
    <x v="3"/>
    <x v="2"/>
    <n v="22"/>
    <n v="4488"/>
    <n v="1527"/>
    <x v="5"/>
    <n v="42"/>
    <n v="0"/>
    <n v="4.4000000000000004"/>
    <n v="0.34024064171122997"/>
    <n v="204"/>
    <n v="4.4000000000000004"/>
  </r>
  <r>
    <s v="2024-06-28"/>
    <x v="5"/>
    <x v="4"/>
    <x v="0"/>
    <n v="27"/>
    <n v="6993"/>
    <n v="2881"/>
    <x v="3"/>
    <n v="35"/>
    <n v="2"/>
    <n v="4.3"/>
    <n v="0.41198341198341198"/>
    <n v="259"/>
    <n v="6.75"/>
  </r>
  <r>
    <s v="2024-06-28"/>
    <x v="5"/>
    <x v="4"/>
    <x v="1"/>
    <n v="82"/>
    <n v="23698"/>
    <n v="6749"/>
    <x v="6"/>
    <n v="72"/>
    <n v="2"/>
    <n v="4.0999999999999996"/>
    <n v="0.28479196556671449"/>
    <n v="289"/>
    <n v="9.1111111111111107"/>
  </r>
  <r>
    <s v="2024-06-28"/>
    <x v="5"/>
    <x v="4"/>
    <x v="2"/>
    <n v="32"/>
    <n v="10496"/>
    <n v="3561"/>
    <x v="4"/>
    <n v="40"/>
    <n v="1"/>
    <n v="3.8"/>
    <n v="0.33927210365853661"/>
    <n v="328"/>
    <n v="5.333333333333333"/>
  </r>
  <r>
    <s v="2024-06-29"/>
    <x v="5"/>
    <x v="5"/>
    <x v="0"/>
    <n v="60"/>
    <n v="16140"/>
    <n v="5846"/>
    <x v="3"/>
    <n v="35"/>
    <n v="1"/>
    <n v="4.0999999999999996"/>
    <n v="0.36220570012391573"/>
    <n v="269"/>
    <n v="15"/>
  </r>
  <r>
    <s v="2024-06-29"/>
    <x v="5"/>
    <x v="5"/>
    <x v="1"/>
    <n v="107"/>
    <n v="39697"/>
    <n v="12801"/>
    <x v="2"/>
    <n v="61"/>
    <n v="2"/>
    <n v="4.2"/>
    <n v="0.32246769277275361"/>
    <n v="371"/>
    <n v="15.285714285714286"/>
  </r>
  <r>
    <s v="2024-06-29"/>
    <x v="5"/>
    <x v="5"/>
    <x v="2"/>
    <n v="63"/>
    <n v="18648"/>
    <n v="5228"/>
    <x v="3"/>
    <n v="61"/>
    <n v="1"/>
    <n v="4"/>
    <n v="0.28035178035178038"/>
    <n v="296"/>
    <n v="15.75"/>
  </r>
  <r>
    <s v="2024-06-30"/>
    <x v="5"/>
    <x v="6"/>
    <x v="0"/>
    <n v="34"/>
    <n v="9452"/>
    <n v="3727"/>
    <x v="3"/>
    <n v="52"/>
    <n v="0"/>
    <n v="4.3"/>
    <n v="0.39430808294540837"/>
    <n v="278"/>
    <n v="8.5"/>
  </r>
  <r>
    <s v="2024-06-30"/>
    <x v="5"/>
    <x v="6"/>
    <x v="1"/>
    <n v="98"/>
    <n v="32242"/>
    <n v="12611"/>
    <x v="2"/>
    <n v="71"/>
    <n v="1"/>
    <n v="4"/>
    <n v="0.39113578562123935"/>
    <n v="329"/>
    <n v="14"/>
  </r>
  <r>
    <s v="2024-06-30"/>
    <x v="5"/>
    <x v="6"/>
    <x v="2"/>
    <n v="54"/>
    <n v="17982"/>
    <n v="6326"/>
    <x v="5"/>
    <n v="60"/>
    <n v="2"/>
    <n v="4.5999999999999996"/>
    <n v="0.35179624068512955"/>
    <n v="333"/>
    <n v="10.8"/>
  </r>
  <r>
    <s v="2024-07-01"/>
    <x v="6"/>
    <x v="0"/>
    <x v="0"/>
    <n v="16"/>
    <n v="4016"/>
    <n v="1125"/>
    <x v="3"/>
    <n v="42"/>
    <n v="0"/>
    <n v="4.4000000000000004"/>
    <n v="0.28012948207171312"/>
    <n v="251"/>
    <n v="4"/>
  </r>
  <r>
    <s v="2024-07-01"/>
    <x v="6"/>
    <x v="0"/>
    <x v="1"/>
    <n v="49"/>
    <n v="20188"/>
    <n v="5915"/>
    <x v="1"/>
    <n v="70"/>
    <n v="4"/>
    <n v="4.7"/>
    <n v="0.29299583911234395"/>
    <n v="412"/>
    <n v="4.9000000000000004"/>
  </r>
  <r>
    <s v="2024-07-01"/>
    <x v="6"/>
    <x v="0"/>
    <x v="2"/>
    <n v="45"/>
    <n v="11385"/>
    <n v="4582"/>
    <x v="2"/>
    <n v="44"/>
    <n v="3"/>
    <n v="3.8"/>
    <n v="0.40245937637241985"/>
    <n v="253"/>
    <n v="6.4285714285714288"/>
  </r>
  <r>
    <s v="2024-07-02"/>
    <x v="6"/>
    <x v="1"/>
    <x v="0"/>
    <n v="21"/>
    <n v="4641"/>
    <n v="1842"/>
    <x v="0"/>
    <n v="43"/>
    <n v="2"/>
    <n v="3.9"/>
    <n v="0.39689722042663217"/>
    <n v="221"/>
    <n v="7"/>
  </r>
  <r>
    <s v="2024-07-02"/>
    <x v="6"/>
    <x v="1"/>
    <x v="1"/>
    <n v="68"/>
    <n v="30600"/>
    <n v="9835"/>
    <x v="1"/>
    <n v="71"/>
    <n v="2"/>
    <n v="4.8"/>
    <n v="0.32140522875816996"/>
    <n v="450"/>
    <n v="6.8"/>
  </r>
  <r>
    <s v="2024-07-02"/>
    <x v="6"/>
    <x v="1"/>
    <x v="2"/>
    <n v="34"/>
    <n v="9792"/>
    <n v="2890"/>
    <x v="3"/>
    <n v="41"/>
    <n v="0"/>
    <n v="3.6"/>
    <n v="0.2951388888888889"/>
    <n v="288"/>
    <n v="8.5"/>
  </r>
  <r>
    <s v="2024-07-03"/>
    <x v="6"/>
    <x v="2"/>
    <x v="0"/>
    <n v="17"/>
    <n v="3111"/>
    <n v="1172"/>
    <x v="3"/>
    <n v="39"/>
    <n v="2"/>
    <n v="4.4000000000000004"/>
    <n v="0.37672774027643846"/>
    <n v="183"/>
    <n v="4.25"/>
  </r>
  <r>
    <s v="2024-07-03"/>
    <x v="6"/>
    <x v="2"/>
    <x v="1"/>
    <n v="51"/>
    <n v="18513"/>
    <n v="6200"/>
    <x v="7"/>
    <n v="74"/>
    <n v="1"/>
    <n v="4.5999999999999996"/>
    <n v="0.33489980014044185"/>
    <n v="363"/>
    <n v="6.375"/>
  </r>
  <r>
    <s v="2024-07-03"/>
    <x v="6"/>
    <x v="2"/>
    <x v="2"/>
    <n v="51"/>
    <n v="15147"/>
    <n v="5604"/>
    <x v="3"/>
    <n v="46"/>
    <n v="1"/>
    <n v="3.7"/>
    <n v="0.3699742523271935"/>
    <n v="297"/>
    <n v="12.75"/>
  </r>
  <r>
    <s v="2024-07-04"/>
    <x v="6"/>
    <x v="3"/>
    <x v="0"/>
    <n v="15"/>
    <n v="3765"/>
    <n v="1123"/>
    <x v="3"/>
    <n v="48"/>
    <n v="2"/>
    <n v="3.9"/>
    <n v="0.29827357237715801"/>
    <n v="251"/>
    <n v="3.75"/>
  </r>
  <r>
    <s v="2024-07-04"/>
    <x v="6"/>
    <x v="3"/>
    <x v="1"/>
    <n v="67"/>
    <n v="25393"/>
    <n v="9804"/>
    <x v="2"/>
    <n v="53"/>
    <n v="3"/>
    <n v="3.6"/>
    <n v="0.38609065490489503"/>
    <n v="379"/>
    <n v="9.5714285714285712"/>
  </r>
  <r>
    <s v="2024-07-04"/>
    <x v="6"/>
    <x v="3"/>
    <x v="2"/>
    <n v="47"/>
    <n v="12361"/>
    <n v="4326"/>
    <x v="4"/>
    <n v="42"/>
    <n v="2"/>
    <n v="4.4000000000000004"/>
    <n v="0.34997168513874283"/>
    <n v="263"/>
    <n v="7.833333333333333"/>
  </r>
  <r>
    <s v="2024-07-05"/>
    <x v="6"/>
    <x v="4"/>
    <x v="0"/>
    <n v="58"/>
    <n v="14674"/>
    <n v="5232"/>
    <x v="5"/>
    <n v="44"/>
    <n v="0"/>
    <n v="4"/>
    <n v="0.35654899822815866"/>
    <n v="253"/>
    <n v="11.6"/>
  </r>
  <r>
    <s v="2024-07-05"/>
    <x v="6"/>
    <x v="4"/>
    <x v="1"/>
    <n v="143"/>
    <n v="55770"/>
    <n v="17321"/>
    <x v="4"/>
    <n v="70"/>
    <n v="4"/>
    <n v="4.5"/>
    <n v="0.31057916442531824"/>
    <n v="390"/>
    <n v="23.833333333333332"/>
  </r>
  <r>
    <s v="2024-07-05"/>
    <x v="6"/>
    <x v="4"/>
    <x v="2"/>
    <n v="46"/>
    <n v="11224"/>
    <n v="3988"/>
    <x v="2"/>
    <n v="50"/>
    <n v="0"/>
    <n v="3.9"/>
    <n v="0.35531004989308623"/>
    <n v="244"/>
    <n v="6.5714285714285712"/>
  </r>
  <r>
    <s v="2024-07-06"/>
    <x v="6"/>
    <x v="5"/>
    <x v="0"/>
    <n v="28"/>
    <n v="6384"/>
    <n v="2530"/>
    <x v="5"/>
    <n v="36"/>
    <n v="0"/>
    <n v="4.4000000000000004"/>
    <n v="0.39630325814536344"/>
    <n v="228"/>
    <n v="5.6"/>
  </r>
  <r>
    <s v="2024-07-06"/>
    <x v="6"/>
    <x v="5"/>
    <x v="1"/>
    <n v="170"/>
    <n v="59500"/>
    <n v="23624"/>
    <x v="2"/>
    <n v="47"/>
    <n v="3"/>
    <n v="4.7"/>
    <n v="0.39704201680672269"/>
    <n v="350"/>
    <n v="24.285714285714285"/>
  </r>
  <r>
    <s v="2024-07-06"/>
    <x v="6"/>
    <x v="5"/>
    <x v="2"/>
    <n v="47"/>
    <n v="11750"/>
    <n v="3327"/>
    <x v="2"/>
    <n v="62"/>
    <n v="1"/>
    <n v="4"/>
    <n v="0.28314893617021275"/>
    <n v="250"/>
    <n v="6.7142857142857144"/>
  </r>
  <r>
    <s v="2024-07-07"/>
    <x v="6"/>
    <x v="6"/>
    <x v="0"/>
    <n v="46"/>
    <n v="8326"/>
    <n v="2844"/>
    <x v="3"/>
    <n v="48"/>
    <n v="0"/>
    <n v="4.4000000000000004"/>
    <n v="0.34158059092000959"/>
    <n v="181"/>
    <n v="11.5"/>
  </r>
  <r>
    <s v="2024-07-07"/>
    <x v="6"/>
    <x v="6"/>
    <x v="1"/>
    <n v="97"/>
    <n v="38897"/>
    <n v="11642"/>
    <x v="1"/>
    <n v="73"/>
    <n v="1"/>
    <n v="4.4000000000000004"/>
    <n v="0.29930328817132429"/>
    <n v="401"/>
    <n v="9.6999999999999993"/>
  </r>
  <r>
    <s v="2024-07-07"/>
    <x v="6"/>
    <x v="6"/>
    <x v="2"/>
    <n v="76"/>
    <n v="20824"/>
    <n v="8169"/>
    <x v="2"/>
    <n v="61"/>
    <n v="3"/>
    <n v="4.4000000000000004"/>
    <n v="0.39228774490971957"/>
    <n v="274"/>
    <n v="10.857142857142858"/>
  </r>
  <r>
    <s v="2024-07-08"/>
    <x v="6"/>
    <x v="0"/>
    <x v="0"/>
    <n v="20"/>
    <n v="3660"/>
    <n v="1256"/>
    <x v="0"/>
    <n v="49"/>
    <n v="0"/>
    <n v="3.9"/>
    <n v="0.34316939890710385"/>
    <n v="183"/>
    <n v="6.666666666666667"/>
  </r>
  <r>
    <s v="2024-07-08"/>
    <x v="6"/>
    <x v="0"/>
    <x v="1"/>
    <n v="67"/>
    <n v="20569"/>
    <n v="8056"/>
    <x v="2"/>
    <n v="68"/>
    <n v="4"/>
    <n v="4.5999999999999996"/>
    <n v="0.39165734843696826"/>
    <n v="307"/>
    <n v="9.5714285714285712"/>
  </r>
  <r>
    <s v="2024-07-08"/>
    <x v="6"/>
    <x v="0"/>
    <x v="2"/>
    <n v="29"/>
    <n v="10063"/>
    <n v="3140"/>
    <x v="2"/>
    <n v="60"/>
    <n v="0"/>
    <n v="4.4000000000000004"/>
    <n v="0.31203418463678823"/>
    <n v="347"/>
    <n v="4.1428571428571432"/>
  </r>
  <r>
    <s v="2024-07-09"/>
    <x v="6"/>
    <x v="1"/>
    <x v="0"/>
    <n v="22"/>
    <n v="5918"/>
    <n v="2085"/>
    <x v="0"/>
    <n v="55"/>
    <n v="1"/>
    <n v="3.9"/>
    <n v="0.35231497127407907"/>
    <n v="269"/>
    <n v="7.333333333333333"/>
  </r>
  <r>
    <s v="2024-07-09"/>
    <x v="6"/>
    <x v="1"/>
    <x v="1"/>
    <n v="82"/>
    <n v="32718"/>
    <n v="10255"/>
    <x v="7"/>
    <n v="73"/>
    <n v="3"/>
    <n v="3.8"/>
    <n v="0.31343602909713308"/>
    <n v="399"/>
    <n v="10.25"/>
  </r>
  <r>
    <s v="2024-07-09"/>
    <x v="6"/>
    <x v="1"/>
    <x v="2"/>
    <n v="31"/>
    <n v="10137"/>
    <n v="2925"/>
    <x v="5"/>
    <n v="51"/>
    <n v="1"/>
    <n v="3.7"/>
    <n v="0.28854690736904409"/>
    <n v="327"/>
    <n v="6.2"/>
  </r>
  <r>
    <s v="2024-07-10"/>
    <x v="6"/>
    <x v="2"/>
    <x v="0"/>
    <n v="40"/>
    <n v="9520"/>
    <n v="3958"/>
    <x v="0"/>
    <n v="49"/>
    <n v="2"/>
    <n v="4.5"/>
    <n v="0.41575630252100843"/>
    <n v="238"/>
    <n v="13.333333333333334"/>
  </r>
  <r>
    <s v="2024-07-10"/>
    <x v="6"/>
    <x v="2"/>
    <x v="1"/>
    <n v="100"/>
    <n v="43500"/>
    <n v="13117"/>
    <x v="6"/>
    <n v="56"/>
    <n v="3"/>
    <n v="4.0999999999999996"/>
    <n v="0.30154022988505746"/>
    <n v="435"/>
    <n v="11.111111111111111"/>
  </r>
  <r>
    <s v="2024-07-10"/>
    <x v="6"/>
    <x v="2"/>
    <x v="2"/>
    <n v="34"/>
    <n v="9860"/>
    <n v="3024"/>
    <x v="5"/>
    <n v="47"/>
    <n v="2"/>
    <n v="4.0999999999999996"/>
    <n v="0.30669371196754563"/>
    <n v="290"/>
    <n v="6.8"/>
  </r>
  <r>
    <s v="2024-07-11"/>
    <x v="6"/>
    <x v="3"/>
    <x v="0"/>
    <n v="36"/>
    <n v="9144"/>
    <n v="3238"/>
    <x v="0"/>
    <n v="41"/>
    <n v="2"/>
    <n v="3.9"/>
    <n v="0.35411198600174976"/>
    <n v="254"/>
    <n v="12"/>
  </r>
  <r>
    <s v="2024-07-11"/>
    <x v="6"/>
    <x v="3"/>
    <x v="1"/>
    <n v="52"/>
    <n v="22412"/>
    <n v="8077"/>
    <x v="7"/>
    <n v="74"/>
    <n v="4"/>
    <n v="4.3"/>
    <n v="0.3603872925218633"/>
    <n v="431"/>
    <n v="6.5"/>
  </r>
  <r>
    <s v="2024-07-11"/>
    <x v="6"/>
    <x v="3"/>
    <x v="2"/>
    <n v="57"/>
    <n v="13623"/>
    <n v="4965"/>
    <x v="4"/>
    <n v="62"/>
    <n v="2"/>
    <n v="3.6"/>
    <n v="0.36445716802466416"/>
    <n v="239"/>
    <n v="9.5"/>
  </r>
  <r>
    <s v="2024-07-12"/>
    <x v="6"/>
    <x v="4"/>
    <x v="0"/>
    <n v="26"/>
    <n v="6526"/>
    <n v="1961"/>
    <x v="0"/>
    <n v="42"/>
    <n v="2"/>
    <n v="3.8"/>
    <n v="0.30049034630707938"/>
    <n v="251"/>
    <n v="8.6666666666666661"/>
  </r>
  <r>
    <s v="2024-07-12"/>
    <x v="6"/>
    <x v="4"/>
    <x v="1"/>
    <n v="87"/>
    <n v="31146"/>
    <n v="9343"/>
    <x v="7"/>
    <n v="48"/>
    <n v="3"/>
    <n v="4.2"/>
    <n v="0.29997431451871831"/>
    <n v="358"/>
    <n v="10.875"/>
  </r>
  <r>
    <s v="2024-07-12"/>
    <x v="6"/>
    <x v="4"/>
    <x v="2"/>
    <n v="57"/>
    <n v="16017"/>
    <n v="5927"/>
    <x v="4"/>
    <n v="43"/>
    <n v="2"/>
    <n v="4.2"/>
    <n v="0.37004432790160452"/>
    <n v="281"/>
    <n v="9.5"/>
  </r>
  <r>
    <s v="2024-07-13"/>
    <x v="6"/>
    <x v="5"/>
    <x v="0"/>
    <n v="60"/>
    <n v="12600"/>
    <n v="4120"/>
    <x v="5"/>
    <n v="41"/>
    <n v="0"/>
    <n v="4.3"/>
    <n v="0.32698412698412699"/>
    <n v="210"/>
    <n v="12"/>
  </r>
  <r>
    <s v="2024-07-13"/>
    <x v="6"/>
    <x v="5"/>
    <x v="1"/>
    <n v="127"/>
    <n v="49276"/>
    <n v="16197"/>
    <x v="6"/>
    <n v="58"/>
    <n v="2"/>
    <n v="4.0999999999999996"/>
    <n v="0.32869956977027354"/>
    <n v="388"/>
    <n v="14.111111111111111"/>
  </r>
  <r>
    <s v="2024-07-13"/>
    <x v="6"/>
    <x v="5"/>
    <x v="2"/>
    <n v="69"/>
    <n v="23391"/>
    <n v="7620"/>
    <x v="2"/>
    <n v="44"/>
    <n v="2"/>
    <n v="3.6"/>
    <n v="0.32576632037963321"/>
    <n v="339"/>
    <n v="9.8571428571428577"/>
  </r>
  <r>
    <s v="2024-07-14"/>
    <x v="6"/>
    <x v="6"/>
    <x v="0"/>
    <n v="24"/>
    <n v="4776"/>
    <n v="1413"/>
    <x v="5"/>
    <n v="41"/>
    <n v="1"/>
    <n v="4"/>
    <n v="0.29585427135678394"/>
    <n v="199"/>
    <n v="4.8"/>
  </r>
  <r>
    <s v="2024-07-14"/>
    <x v="6"/>
    <x v="6"/>
    <x v="1"/>
    <n v="72"/>
    <n v="29736"/>
    <n v="9754"/>
    <x v="1"/>
    <n v="66"/>
    <n v="4"/>
    <n v="4.8"/>
    <n v="0.32801990852838309"/>
    <n v="413"/>
    <n v="7.2"/>
  </r>
  <r>
    <s v="2024-07-14"/>
    <x v="6"/>
    <x v="6"/>
    <x v="2"/>
    <n v="38"/>
    <n v="8056"/>
    <n v="3142"/>
    <x v="5"/>
    <n v="62"/>
    <n v="1"/>
    <n v="4.5"/>
    <n v="0.39001986097318769"/>
    <n v="212"/>
    <n v="7.6"/>
  </r>
  <r>
    <s v="2024-07-15"/>
    <x v="6"/>
    <x v="0"/>
    <x v="0"/>
    <n v="16"/>
    <n v="3744"/>
    <n v="1074"/>
    <x v="5"/>
    <n v="40"/>
    <n v="1"/>
    <n v="4.5"/>
    <n v="0.28685897435897434"/>
    <n v="234"/>
    <n v="3.2"/>
  </r>
  <r>
    <s v="2024-07-15"/>
    <x v="6"/>
    <x v="0"/>
    <x v="1"/>
    <n v="80"/>
    <n v="26160"/>
    <n v="9420"/>
    <x v="7"/>
    <n v="61"/>
    <n v="4"/>
    <n v="3.8"/>
    <n v="0.36009174311926606"/>
    <n v="327"/>
    <n v="10"/>
  </r>
  <r>
    <s v="2024-07-15"/>
    <x v="6"/>
    <x v="0"/>
    <x v="2"/>
    <n v="32"/>
    <n v="8096"/>
    <n v="3382"/>
    <x v="4"/>
    <n v="59"/>
    <n v="3"/>
    <n v="4"/>
    <n v="0.41773715415019763"/>
    <n v="253"/>
    <n v="5.333333333333333"/>
  </r>
  <r>
    <s v="2024-07-16"/>
    <x v="6"/>
    <x v="1"/>
    <x v="0"/>
    <n v="24"/>
    <n v="5976"/>
    <n v="1856"/>
    <x v="3"/>
    <n v="54"/>
    <n v="0"/>
    <n v="4.3"/>
    <n v="0.31057563587684067"/>
    <n v="249"/>
    <n v="6"/>
  </r>
  <r>
    <s v="2024-07-16"/>
    <x v="6"/>
    <x v="1"/>
    <x v="1"/>
    <n v="81"/>
    <n v="29403"/>
    <n v="10770"/>
    <x v="1"/>
    <n v="51"/>
    <n v="4"/>
    <n v="3.7"/>
    <n v="0.36628915416794205"/>
    <n v="363"/>
    <n v="8.1"/>
  </r>
  <r>
    <s v="2024-07-16"/>
    <x v="6"/>
    <x v="1"/>
    <x v="2"/>
    <n v="35"/>
    <n v="8295"/>
    <n v="3320"/>
    <x v="3"/>
    <n v="56"/>
    <n v="1"/>
    <n v="4.5999999999999996"/>
    <n v="0.40024110910186861"/>
    <n v="237"/>
    <n v="8.75"/>
  </r>
  <r>
    <s v="2024-07-17"/>
    <x v="6"/>
    <x v="2"/>
    <x v="0"/>
    <n v="22"/>
    <n v="4598"/>
    <n v="1370"/>
    <x v="5"/>
    <n v="38"/>
    <n v="0"/>
    <n v="4.2"/>
    <n v="0.29795563288386256"/>
    <n v="209"/>
    <n v="4.4000000000000004"/>
  </r>
  <r>
    <s v="2024-07-17"/>
    <x v="6"/>
    <x v="2"/>
    <x v="1"/>
    <n v="65"/>
    <n v="25610"/>
    <n v="8664"/>
    <x v="4"/>
    <n v="72"/>
    <n v="1"/>
    <n v="3.9"/>
    <n v="0.33830534947286217"/>
    <n v="394"/>
    <n v="10.833333333333334"/>
  </r>
  <r>
    <s v="2024-07-17"/>
    <x v="6"/>
    <x v="2"/>
    <x v="2"/>
    <n v="47"/>
    <n v="14946"/>
    <n v="5327"/>
    <x v="4"/>
    <n v="53"/>
    <n v="3"/>
    <n v="4.4000000000000004"/>
    <n v="0.35641643249029842"/>
    <n v="318"/>
    <n v="7.833333333333333"/>
  </r>
  <r>
    <s v="2024-07-18"/>
    <x v="6"/>
    <x v="3"/>
    <x v="0"/>
    <n v="32"/>
    <n v="8416"/>
    <n v="2804"/>
    <x v="3"/>
    <n v="50"/>
    <n v="1"/>
    <n v="4.0999999999999996"/>
    <n v="0.33317490494296575"/>
    <n v="263"/>
    <n v="8"/>
  </r>
  <r>
    <s v="2024-07-18"/>
    <x v="6"/>
    <x v="3"/>
    <x v="1"/>
    <n v="94"/>
    <n v="42958"/>
    <n v="14030"/>
    <x v="6"/>
    <n v="65"/>
    <n v="1"/>
    <n v="4"/>
    <n v="0.32659807253596534"/>
    <n v="457"/>
    <n v="10.444444444444445"/>
  </r>
  <r>
    <s v="2024-07-18"/>
    <x v="6"/>
    <x v="3"/>
    <x v="2"/>
    <n v="23"/>
    <n v="6739"/>
    <n v="2240"/>
    <x v="3"/>
    <n v="45"/>
    <n v="0"/>
    <n v="4.5"/>
    <n v="0.33239353019735868"/>
    <n v="293"/>
    <n v="5.75"/>
  </r>
  <r>
    <s v="2024-07-19"/>
    <x v="6"/>
    <x v="4"/>
    <x v="0"/>
    <n v="51"/>
    <n v="11730"/>
    <n v="4833"/>
    <x v="3"/>
    <n v="36"/>
    <n v="0"/>
    <n v="4"/>
    <n v="0.41202046035805628"/>
    <n v="230"/>
    <n v="12.75"/>
  </r>
  <r>
    <s v="2024-07-19"/>
    <x v="6"/>
    <x v="4"/>
    <x v="1"/>
    <n v="136"/>
    <n v="43520"/>
    <n v="15922"/>
    <x v="7"/>
    <n v="63"/>
    <n v="0"/>
    <n v="3.6"/>
    <n v="0.3658547794117647"/>
    <n v="320"/>
    <n v="17"/>
  </r>
  <r>
    <s v="2024-07-19"/>
    <x v="6"/>
    <x v="4"/>
    <x v="2"/>
    <n v="61"/>
    <n v="16531"/>
    <n v="5508"/>
    <x v="3"/>
    <n v="44"/>
    <n v="3"/>
    <n v="4.5"/>
    <n v="0.33319218438086018"/>
    <n v="271"/>
    <n v="15.25"/>
  </r>
  <r>
    <s v="2024-07-20"/>
    <x v="6"/>
    <x v="5"/>
    <x v="0"/>
    <n v="40"/>
    <n v="9080"/>
    <n v="3731"/>
    <x v="5"/>
    <n v="49"/>
    <n v="0"/>
    <n v="4.2"/>
    <n v="0.41090308370044054"/>
    <n v="227"/>
    <n v="8"/>
  </r>
  <r>
    <s v="2024-07-20"/>
    <x v="6"/>
    <x v="5"/>
    <x v="1"/>
    <n v="130"/>
    <n v="36920"/>
    <n v="13374"/>
    <x v="6"/>
    <n v="61"/>
    <n v="3"/>
    <n v="4.3"/>
    <n v="0.36224268689057421"/>
    <n v="284"/>
    <n v="14.444444444444445"/>
  </r>
  <r>
    <s v="2024-07-20"/>
    <x v="6"/>
    <x v="5"/>
    <x v="2"/>
    <n v="74"/>
    <n v="16946"/>
    <n v="5532"/>
    <x v="3"/>
    <n v="61"/>
    <n v="3"/>
    <n v="4.5999999999999996"/>
    <n v="0.32644871946181991"/>
    <n v="229"/>
    <n v="18.5"/>
  </r>
  <r>
    <s v="2024-07-21"/>
    <x v="6"/>
    <x v="6"/>
    <x v="0"/>
    <n v="40"/>
    <n v="7960"/>
    <n v="3230"/>
    <x v="5"/>
    <n v="44"/>
    <n v="0"/>
    <n v="4.4000000000000004"/>
    <n v="0.40577889447236182"/>
    <n v="199"/>
    <n v="8"/>
  </r>
  <r>
    <s v="2024-07-21"/>
    <x v="6"/>
    <x v="6"/>
    <x v="1"/>
    <n v="91"/>
    <n v="31122"/>
    <n v="8803"/>
    <x v="4"/>
    <n v="65"/>
    <n v="3"/>
    <n v="3.8"/>
    <n v="0.28285457232825656"/>
    <n v="342"/>
    <n v="15.166666666666666"/>
  </r>
  <r>
    <s v="2024-07-21"/>
    <x v="6"/>
    <x v="6"/>
    <x v="2"/>
    <n v="86"/>
    <n v="24768"/>
    <n v="9353"/>
    <x v="2"/>
    <n v="40"/>
    <n v="0"/>
    <n v="3.9"/>
    <n v="0.37762435400516797"/>
    <n v="288"/>
    <n v="12.285714285714286"/>
  </r>
  <r>
    <s v="2024-07-22"/>
    <x v="6"/>
    <x v="0"/>
    <x v="0"/>
    <n v="26"/>
    <n v="5512"/>
    <n v="2207"/>
    <x v="3"/>
    <n v="54"/>
    <n v="2"/>
    <n v="4.3"/>
    <n v="0.40039912917271409"/>
    <n v="212"/>
    <n v="6.5"/>
  </r>
  <r>
    <s v="2024-07-22"/>
    <x v="6"/>
    <x v="0"/>
    <x v="1"/>
    <n v="74"/>
    <n v="26492"/>
    <n v="9164"/>
    <x v="2"/>
    <n v="54"/>
    <n v="0"/>
    <n v="3.9"/>
    <n v="0.34591574815038501"/>
    <n v="358"/>
    <n v="10.571428571428571"/>
  </r>
  <r>
    <s v="2024-07-22"/>
    <x v="6"/>
    <x v="0"/>
    <x v="2"/>
    <n v="47"/>
    <n v="14711"/>
    <n v="5311"/>
    <x v="5"/>
    <n v="48"/>
    <n v="2"/>
    <n v="3.9"/>
    <n v="0.36102236421725242"/>
    <n v="313"/>
    <n v="9.4"/>
  </r>
  <r>
    <s v="2024-07-23"/>
    <x v="6"/>
    <x v="1"/>
    <x v="0"/>
    <n v="18"/>
    <n v="4230"/>
    <n v="1352"/>
    <x v="0"/>
    <n v="55"/>
    <n v="2"/>
    <n v="3.8"/>
    <n v="0.31962174940898347"/>
    <n v="235"/>
    <n v="6"/>
  </r>
  <r>
    <s v="2024-07-23"/>
    <x v="6"/>
    <x v="1"/>
    <x v="1"/>
    <n v="38"/>
    <n v="11362"/>
    <n v="4108"/>
    <x v="4"/>
    <n v="72"/>
    <n v="2"/>
    <n v="4.2"/>
    <n v="0.36155606407322655"/>
    <n v="299"/>
    <n v="6.333333333333333"/>
  </r>
  <r>
    <s v="2024-07-23"/>
    <x v="6"/>
    <x v="1"/>
    <x v="2"/>
    <n v="43"/>
    <n v="10836"/>
    <n v="3038"/>
    <x v="3"/>
    <n v="52"/>
    <n v="3"/>
    <n v="3.9"/>
    <n v="0.28036175710594313"/>
    <n v="252"/>
    <n v="10.75"/>
  </r>
  <r>
    <s v="2024-07-24"/>
    <x v="6"/>
    <x v="2"/>
    <x v="0"/>
    <n v="23"/>
    <n v="5888"/>
    <n v="1860"/>
    <x v="3"/>
    <n v="46"/>
    <n v="0"/>
    <n v="4.3"/>
    <n v="0.31589673913043476"/>
    <n v="256"/>
    <n v="5.75"/>
  </r>
  <r>
    <s v="2024-07-24"/>
    <x v="6"/>
    <x v="2"/>
    <x v="1"/>
    <n v="54"/>
    <n v="15120"/>
    <n v="4520"/>
    <x v="6"/>
    <n v="68"/>
    <n v="0"/>
    <n v="4.5999999999999996"/>
    <n v="0.29894179894179895"/>
    <n v="280"/>
    <n v="6"/>
  </r>
  <r>
    <s v="2024-07-24"/>
    <x v="6"/>
    <x v="2"/>
    <x v="2"/>
    <n v="31"/>
    <n v="8990"/>
    <n v="2820"/>
    <x v="4"/>
    <n v="60"/>
    <n v="1"/>
    <n v="3.9"/>
    <n v="0.31368186874304782"/>
    <n v="290"/>
    <n v="5.166666666666667"/>
  </r>
  <r>
    <s v="2024-07-25"/>
    <x v="6"/>
    <x v="3"/>
    <x v="0"/>
    <n v="31"/>
    <n v="7812"/>
    <n v="2577"/>
    <x v="5"/>
    <n v="44"/>
    <n v="0"/>
    <n v="3.9"/>
    <n v="0.32987711213517668"/>
    <n v="252"/>
    <n v="6.2"/>
  </r>
  <r>
    <s v="2024-07-25"/>
    <x v="6"/>
    <x v="3"/>
    <x v="1"/>
    <n v="80"/>
    <n v="34880"/>
    <n v="10169"/>
    <x v="6"/>
    <n v="72"/>
    <n v="1"/>
    <n v="4.7"/>
    <n v="0.29154243119266054"/>
    <n v="436"/>
    <n v="8.8888888888888893"/>
  </r>
  <r>
    <s v="2024-07-25"/>
    <x v="6"/>
    <x v="3"/>
    <x v="2"/>
    <n v="45"/>
    <n v="9495"/>
    <n v="2721"/>
    <x v="5"/>
    <n v="59"/>
    <n v="0"/>
    <n v="3.8"/>
    <n v="0.28657187993680883"/>
    <n v="211"/>
    <n v="9"/>
  </r>
  <r>
    <s v="2024-07-26"/>
    <x v="6"/>
    <x v="4"/>
    <x v="0"/>
    <n v="47"/>
    <n v="10199"/>
    <n v="3025"/>
    <x v="3"/>
    <n v="44"/>
    <n v="2"/>
    <n v="4.0999999999999996"/>
    <n v="0.29659770565741739"/>
    <n v="217"/>
    <n v="11.75"/>
  </r>
  <r>
    <s v="2024-07-26"/>
    <x v="6"/>
    <x v="4"/>
    <x v="1"/>
    <n v="113"/>
    <n v="50398"/>
    <n v="19586"/>
    <x v="1"/>
    <n v="69"/>
    <n v="0"/>
    <n v="4.3"/>
    <n v="0.38862653279892057"/>
    <n v="446"/>
    <n v="11.3"/>
  </r>
  <r>
    <s v="2024-07-26"/>
    <x v="6"/>
    <x v="4"/>
    <x v="2"/>
    <n v="44"/>
    <n v="9328"/>
    <n v="3615"/>
    <x v="4"/>
    <n v="45"/>
    <n v="1"/>
    <n v="4.0999999999999996"/>
    <n v="0.38754288164665524"/>
    <n v="212"/>
    <n v="7.333333333333333"/>
  </r>
  <r>
    <s v="2024-07-27"/>
    <x v="6"/>
    <x v="5"/>
    <x v="0"/>
    <n v="48"/>
    <n v="12912"/>
    <n v="4964"/>
    <x v="0"/>
    <n v="36"/>
    <n v="2"/>
    <n v="4.2"/>
    <n v="0.38444857496902107"/>
    <n v="269"/>
    <n v="16"/>
  </r>
  <r>
    <s v="2024-07-27"/>
    <x v="6"/>
    <x v="5"/>
    <x v="1"/>
    <n v="167"/>
    <n v="48764"/>
    <n v="17982"/>
    <x v="6"/>
    <n v="55"/>
    <n v="1"/>
    <n v="4.0999999999999996"/>
    <n v="0.36875563940611927"/>
    <n v="292"/>
    <n v="18.555555555555557"/>
  </r>
  <r>
    <s v="2024-07-27"/>
    <x v="6"/>
    <x v="5"/>
    <x v="2"/>
    <n v="72"/>
    <n v="21456"/>
    <n v="7204"/>
    <x v="2"/>
    <n v="47"/>
    <n v="2"/>
    <n v="3.9"/>
    <n v="0.33575689783743473"/>
    <n v="298"/>
    <n v="10.285714285714286"/>
  </r>
  <r>
    <s v="2024-07-28"/>
    <x v="6"/>
    <x v="6"/>
    <x v="0"/>
    <n v="38"/>
    <n v="9538"/>
    <n v="2697"/>
    <x v="5"/>
    <n v="48"/>
    <n v="2"/>
    <n v="4.2"/>
    <n v="0.28276368211365066"/>
    <n v="251"/>
    <n v="7.6"/>
  </r>
  <r>
    <s v="2024-07-28"/>
    <x v="6"/>
    <x v="6"/>
    <x v="1"/>
    <n v="113"/>
    <n v="40906"/>
    <n v="13636"/>
    <x v="2"/>
    <n v="65"/>
    <n v="4"/>
    <n v="4.5"/>
    <n v="0.33334963086099839"/>
    <n v="362"/>
    <n v="16.142857142857142"/>
  </r>
  <r>
    <s v="2024-07-28"/>
    <x v="6"/>
    <x v="6"/>
    <x v="2"/>
    <n v="35"/>
    <n v="11095"/>
    <n v="3924"/>
    <x v="5"/>
    <n v="57"/>
    <n v="0"/>
    <n v="3.8"/>
    <n v="0.35367282559711583"/>
    <n v="317"/>
    <n v="7"/>
  </r>
  <r>
    <s v="2024-07-29"/>
    <x v="6"/>
    <x v="0"/>
    <x v="0"/>
    <n v="16"/>
    <n v="3376"/>
    <n v="1185"/>
    <x v="0"/>
    <n v="48"/>
    <n v="0"/>
    <n v="4"/>
    <n v="0.35100710900473936"/>
    <n v="211"/>
    <n v="5.333333333333333"/>
  </r>
  <r>
    <s v="2024-07-29"/>
    <x v="6"/>
    <x v="0"/>
    <x v="1"/>
    <n v="76"/>
    <n v="32756"/>
    <n v="9193"/>
    <x v="4"/>
    <n v="63"/>
    <n v="1"/>
    <n v="4"/>
    <n v="0.28065087312248138"/>
    <n v="431"/>
    <n v="12.666666666666666"/>
  </r>
  <r>
    <s v="2024-07-29"/>
    <x v="6"/>
    <x v="0"/>
    <x v="2"/>
    <n v="39"/>
    <n v="9282"/>
    <n v="3753"/>
    <x v="5"/>
    <n v="56"/>
    <n v="0"/>
    <n v="4.3"/>
    <n v="0.40433096315449257"/>
    <n v="238"/>
    <n v="7.8"/>
  </r>
  <r>
    <s v="2024-07-30"/>
    <x v="6"/>
    <x v="1"/>
    <x v="0"/>
    <n v="29"/>
    <n v="6554"/>
    <n v="2631"/>
    <x v="5"/>
    <n v="39"/>
    <n v="0"/>
    <n v="4.4000000000000004"/>
    <n v="0.40143423863289596"/>
    <n v="226"/>
    <n v="5.8"/>
  </r>
  <r>
    <s v="2024-07-30"/>
    <x v="6"/>
    <x v="1"/>
    <x v="1"/>
    <n v="63"/>
    <n v="27342"/>
    <n v="8237"/>
    <x v="1"/>
    <n v="48"/>
    <n v="1"/>
    <n v="4.0999999999999996"/>
    <n v="0.3012581376636676"/>
    <n v="434"/>
    <n v="6.3"/>
  </r>
  <r>
    <s v="2024-07-30"/>
    <x v="6"/>
    <x v="1"/>
    <x v="2"/>
    <n v="20"/>
    <n v="6340"/>
    <n v="2570"/>
    <x v="4"/>
    <n v="49"/>
    <n v="1"/>
    <n v="3.7"/>
    <n v="0.40536277602523657"/>
    <n v="317"/>
    <n v="3.3333333333333335"/>
  </r>
  <r>
    <s v="2024-07-31"/>
    <x v="6"/>
    <x v="2"/>
    <x v="0"/>
    <n v="18"/>
    <n v="3690"/>
    <n v="1107"/>
    <x v="3"/>
    <n v="47"/>
    <n v="2"/>
    <n v="4.3"/>
    <n v="0.3"/>
    <n v="205"/>
    <n v="4.5"/>
  </r>
  <r>
    <s v="2024-07-31"/>
    <x v="6"/>
    <x v="2"/>
    <x v="1"/>
    <n v="59"/>
    <n v="16815"/>
    <n v="5107"/>
    <x v="1"/>
    <n v="50"/>
    <n v="2"/>
    <n v="4.0999999999999996"/>
    <n v="0.30371691941718704"/>
    <n v="285"/>
    <n v="5.9"/>
  </r>
  <r>
    <s v="2024-07-31"/>
    <x v="6"/>
    <x v="2"/>
    <x v="2"/>
    <n v="52"/>
    <n v="13572"/>
    <n v="4893"/>
    <x v="2"/>
    <n v="65"/>
    <n v="1"/>
    <n v="4.0999999999999996"/>
    <n v="0.36052166224580018"/>
    <n v="261"/>
    <n v="7.4285714285714288"/>
  </r>
  <r>
    <s v="2024-08-01"/>
    <x v="7"/>
    <x v="3"/>
    <x v="0"/>
    <n v="33"/>
    <n v="7590"/>
    <n v="2825"/>
    <x v="3"/>
    <n v="40"/>
    <n v="0"/>
    <n v="4.2"/>
    <n v="0.37220026350461133"/>
    <n v="230"/>
    <n v="8.25"/>
  </r>
  <r>
    <s v="2024-08-01"/>
    <x v="7"/>
    <x v="3"/>
    <x v="1"/>
    <n v="78"/>
    <n v="25974"/>
    <n v="9325"/>
    <x v="4"/>
    <n v="72"/>
    <n v="2"/>
    <n v="3.6"/>
    <n v="0.35901285901285901"/>
    <n v="333"/>
    <n v="13"/>
  </r>
  <r>
    <s v="2024-08-01"/>
    <x v="7"/>
    <x v="3"/>
    <x v="2"/>
    <n v="26"/>
    <n v="8138"/>
    <n v="2926"/>
    <x v="4"/>
    <n v="57"/>
    <n v="0"/>
    <n v="4.3"/>
    <n v="0.35954780044236911"/>
    <n v="313"/>
    <n v="4.333333333333333"/>
  </r>
  <r>
    <s v="2024-08-02"/>
    <x v="7"/>
    <x v="4"/>
    <x v="0"/>
    <n v="46"/>
    <n v="8924"/>
    <n v="3194"/>
    <x v="3"/>
    <n v="40"/>
    <n v="1"/>
    <n v="4.0999999999999996"/>
    <n v="0.35791125056028689"/>
    <n v="194"/>
    <n v="11.5"/>
  </r>
  <r>
    <s v="2024-08-02"/>
    <x v="7"/>
    <x v="4"/>
    <x v="1"/>
    <n v="132"/>
    <n v="42900"/>
    <n v="17192"/>
    <x v="7"/>
    <n v="72"/>
    <n v="1"/>
    <n v="4.5"/>
    <n v="0.40074592074592075"/>
    <n v="325"/>
    <n v="16.5"/>
  </r>
  <r>
    <s v="2024-08-02"/>
    <x v="7"/>
    <x v="4"/>
    <x v="2"/>
    <n v="90"/>
    <n v="19350"/>
    <n v="7454"/>
    <x v="3"/>
    <n v="42"/>
    <n v="3"/>
    <n v="3.6"/>
    <n v="0.38521963824289407"/>
    <n v="215"/>
    <n v="22.5"/>
  </r>
  <r>
    <s v="2024-08-03"/>
    <x v="7"/>
    <x v="5"/>
    <x v="0"/>
    <n v="39"/>
    <n v="9243"/>
    <n v="3654"/>
    <x v="3"/>
    <n v="40"/>
    <n v="1"/>
    <n v="3.9"/>
    <n v="0.39532619279454723"/>
    <n v="237"/>
    <n v="9.75"/>
  </r>
  <r>
    <s v="2024-08-03"/>
    <x v="7"/>
    <x v="5"/>
    <x v="1"/>
    <n v="105"/>
    <n v="29715"/>
    <n v="11868"/>
    <x v="2"/>
    <n v="55"/>
    <n v="0"/>
    <n v="4"/>
    <n v="0.39939424533064111"/>
    <n v="283"/>
    <n v="15"/>
  </r>
  <r>
    <s v="2024-08-03"/>
    <x v="7"/>
    <x v="5"/>
    <x v="2"/>
    <n v="109"/>
    <n v="26487"/>
    <n v="10607"/>
    <x v="3"/>
    <n v="43"/>
    <n v="1"/>
    <n v="4.0999999999999996"/>
    <n v="0.40046060331483369"/>
    <n v="243"/>
    <n v="27.25"/>
  </r>
  <r>
    <s v="2024-08-04"/>
    <x v="7"/>
    <x v="6"/>
    <x v="0"/>
    <n v="46"/>
    <n v="11868"/>
    <n v="4743"/>
    <x v="5"/>
    <n v="40"/>
    <n v="1"/>
    <n v="4.2"/>
    <n v="0.39964610717896865"/>
    <n v="258"/>
    <n v="9.1999999999999993"/>
  </r>
  <r>
    <s v="2024-08-04"/>
    <x v="7"/>
    <x v="6"/>
    <x v="1"/>
    <n v="106"/>
    <n v="36146"/>
    <n v="14863"/>
    <x v="6"/>
    <n v="55"/>
    <n v="2"/>
    <n v="3.7"/>
    <n v="0.41119349305593977"/>
    <n v="341"/>
    <n v="11.777777777777779"/>
  </r>
  <r>
    <s v="2024-08-04"/>
    <x v="7"/>
    <x v="6"/>
    <x v="2"/>
    <n v="92"/>
    <n v="30544"/>
    <n v="11816"/>
    <x v="5"/>
    <n v="41"/>
    <n v="0"/>
    <n v="4.2"/>
    <n v="0.38685175484546885"/>
    <n v="332"/>
    <n v="18.399999999999999"/>
  </r>
  <r>
    <s v="2024-08-05"/>
    <x v="7"/>
    <x v="0"/>
    <x v="0"/>
    <n v="23"/>
    <n v="4853"/>
    <n v="1832"/>
    <x v="5"/>
    <n v="52"/>
    <n v="2"/>
    <n v="4.0999999999999996"/>
    <n v="0.37749845456418712"/>
    <n v="211"/>
    <n v="4.5999999999999996"/>
  </r>
  <r>
    <s v="2024-08-05"/>
    <x v="7"/>
    <x v="0"/>
    <x v="1"/>
    <n v="67"/>
    <n v="20234"/>
    <n v="7968"/>
    <x v="2"/>
    <n v="69"/>
    <n v="0"/>
    <n v="4.5"/>
    <n v="0.39379262627261047"/>
    <n v="302"/>
    <n v="9.5714285714285712"/>
  </r>
  <r>
    <s v="2024-08-05"/>
    <x v="7"/>
    <x v="0"/>
    <x v="2"/>
    <n v="46"/>
    <n v="14720"/>
    <n v="4700"/>
    <x v="5"/>
    <n v="58"/>
    <n v="0"/>
    <n v="3.8"/>
    <n v="0.31929347826086957"/>
    <n v="320"/>
    <n v="9.1999999999999993"/>
  </r>
  <r>
    <s v="2024-08-06"/>
    <x v="7"/>
    <x v="1"/>
    <x v="0"/>
    <n v="37"/>
    <n v="8658"/>
    <n v="3498"/>
    <x v="5"/>
    <n v="38"/>
    <n v="0"/>
    <n v="4.3"/>
    <n v="0.404019404019404"/>
    <n v="234"/>
    <n v="7.4"/>
  </r>
  <r>
    <s v="2024-08-06"/>
    <x v="7"/>
    <x v="1"/>
    <x v="1"/>
    <n v="78"/>
    <n v="37128"/>
    <n v="12857"/>
    <x v="4"/>
    <n v="47"/>
    <n v="4"/>
    <n v="3.8"/>
    <n v="0.34628851540616246"/>
    <n v="476"/>
    <n v="13"/>
  </r>
  <r>
    <s v="2024-08-06"/>
    <x v="7"/>
    <x v="1"/>
    <x v="2"/>
    <n v="24"/>
    <n v="7680"/>
    <n v="3125"/>
    <x v="2"/>
    <n v="49"/>
    <n v="0"/>
    <n v="4.5"/>
    <n v="0.40690104166666669"/>
    <n v="320"/>
    <n v="3.4285714285714284"/>
  </r>
  <r>
    <s v="2024-08-07"/>
    <x v="7"/>
    <x v="2"/>
    <x v="0"/>
    <n v="32"/>
    <n v="5984"/>
    <n v="2116"/>
    <x v="0"/>
    <n v="40"/>
    <n v="1"/>
    <n v="4.3"/>
    <n v="0.35360962566844922"/>
    <n v="187"/>
    <n v="10.666666666666666"/>
  </r>
  <r>
    <s v="2024-08-07"/>
    <x v="7"/>
    <x v="2"/>
    <x v="1"/>
    <n v="86"/>
    <n v="25800"/>
    <n v="7254"/>
    <x v="6"/>
    <n v="65"/>
    <n v="4"/>
    <n v="4.2"/>
    <n v="0.28116279069767441"/>
    <n v="300"/>
    <n v="9.5555555555555554"/>
  </r>
  <r>
    <s v="2024-08-07"/>
    <x v="7"/>
    <x v="2"/>
    <x v="2"/>
    <n v="26"/>
    <n v="7514"/>
    <n v="2809"/>
    <x v="5"/>
    <n v="49"/>
    <n v="3"/>
    <n v="4.4000000000000004"/>
    <n v="0.37383550705350016"/>
    <n v="289"/>
    <n v="5.2"/>
  </r>
  <r>
    <s v="2024-08-08"/>
    <x v="7"/>
    <x v="3"/>
    <x v="0"/>
    <n v="51"/>
    <n v="12903"/>
    <n v="4147"/>
    <x v="0"/>
    <n v="51"/>
    <n v="0"/>
    <n v="4"/>
    <n v="0.32139812446717819"/>
    <n v="253"/>
    <n v="17"/>
  </r>
  <r>
    <s v="2024-08-08"/>
    <x v="7"/>
    <x v="3"/>
    <x v="1"/>
    <n v="117"/>
    <n v="39429"/>
    <n v="13217"/>
    <x v="6"/>
    <n v="53"/>
    <n v="0"/>
    <n v="4.3"/>
    <n v="0.33521012452763194"/>
    <n v="337"/>
    <n v="13"/>
  </r>
  <r>
    <s v="2024-08-08"/>
    <x v="7"/>
    <x v="3"/>
    <x v="2"/>
    <n v="68"/>
    <n v="20740"/>
    <n v="8169"/>
    <x v="4"/>
    <n v="52"/>
    <n v="2"/>
    <n v="4.0999999999999996"/>
    <n v="0.3938765670202507"/>
    <n v="305"/>
    <n v="11.333333333333334"/>
  </r>
  <r>
    <s v="2024-08-09"/>
    <x v="7"/>
    <x v="4"/>
    <x v="0"/>
    <n v="64"/>
    <n v="13248"/>
    <n v="3722"/>
    <x v="5"/>
    <n v="38"/>
    <n v="1"/>
    <n v="3.9"/>
    <n v="0.28094806763285024"/>
    <n v="207"/>
    <n v="12.8"/>
  </r>
  <r>
    <s v="2024-08-09"/>
    <x v="7"/>
    <x v="4"/>
    <x v="1"/>
    <n v="118"/>
    <n v="52510"/>
    <n v="17422"/>
    <x v="7"/>
    <n v="52"/>
    <n v="4"/>
    <n v="4.7"/>
    <n v="0.33178442201485431"/>
    <n v="445"/>
    <n v="14.75"/>
  </r>
  <r>
    <s v="2024-08-09"/>
    <x v="7"/>
    <x v="4"/>
    <x v="2"/>
    <n v="76"/>
    <n v="22724"/>
    <n v="9109"/>
    <x v="2"/>
    <n v="43"/>
    <n v="3"/>
    <n v="4.5999999999999996"/>
    <n v="0.40085372293610277"/>
    <n v="299"/>
    <n v="10.857142857142858"/>
  </r>
  <r>
    <s v="2024-08-10"/>
    <x v="7"/>
    <x v="5"/>
    <x v="0"/>
    <n v="40"/>
    <n v="10400"/>
    <n v="3732"/>
    <x v="0"/>
    <n v="50"/>
    <n v="0"/>
    <n v="4"/>
    <n v="0.35884615384615387"/>
    <n v="260"/>
    <n v="13.333333333333334"/>
  </r>
  <r>
    <s v="2024-08-10"/>
    <x v="7"/>
    <x v="5"/>
    <x v="1"/>
    <n v="190"/>
    <n v="78090"/>
    <n v="23419"/>
    <x v="7"/>
    <n v="62"/>
    <n v="1"/>
    <n v="3.9"/>
    <n v="0.29989755410423868"/>
    <n v="411"/>
    <n v="23.75"/>
  </r>
  <r>
    <s v="2024-08-10"/>
    <x v="7"/>
    <x v="5"/>
    <x v="2"/>
    <n v="100"/>
    <n v="31600"/>
    <n v="12677"/>
    <x v="3"/>
    <n v="55"/>
    <n v="1"/>
    <n v="3.7"/>
    <n v="0.40117088607594936"/>
    <n v="316"/>
    <n v="25"/>
  </r>
  <r>
    <s v="2024-08-11"/>
    <x v="7"/>
    <x v="6"/>
    <x v="0"/>
    <n v="71"/>
    <n v="14271"/>
    <n v="5779"/>
    <x v="3"/>
    <n v="40"/>
    <n v="1"/>
    <n v="4.4000000000000004"/>
    <n v="0.4049470955083736"/>
    <n v="201"/>
    <n v="17.75"/>
  </r>
  <r>
    <s v="2024-08-11"/>
    <x v="7"/>
    <x v="6"/>
    <x v="1"/>
    <n v="139"/>
    <n v="51152"/>
    <n v="19628"/>
    <x v="4"/>
    <n v="66"/>
    <n v="1"/>
    <n v="3.6"/>
    <n v="0.38371911166718797"/>
    <n v="368"/>
    <n v="23.166666666666668"/>
  </r>
  <r>
    <s v="2024-08-11"/>
    <x v="7"/>
    <x v="6"/>
    <x v="2"/>
    <n v="50"/>
    <n v="14900"/>
    <n v="5547"/>
    <x v="3"/>
    <n v="46"/>
    <n v="3"/>
    <n v="4.4000000000000004"/>
    <n v="0.37228187919463085"/>
    <n v="298"/>
    <n v="12.5"/>
  </r>
  <r>
    <s v="2024-08-12"/>
    <x v="7"/>
    <x v="0"/>
    <x v="0"/>
    <n v="38"/>
    <n v="9082"/>
    <n v="2641"/>
    <x v="5"/>
    <n v="37"/>
    <n v="0"/>
    <n v="3.9"/>
    <n v="0.29079497907949792"/>
    <n v="239"/>
    <n v="7.6"/>
  </r>
  <r>
    <s v="2024-08-12"/>
    <x v="7"/>
    <x v="0"/>
    <x v="1"/>
    <n v="90"/>
    <n v="33120"/>
    <n v="11631"/>
    <x v="1"/>
    <n v="61"/>
    <n v="3"/>
    <n v="3.6"/>
    <n v="0.35117753623188408"/>
    <n v="368"/>
    <n v="9"/>
  </r>
  <r>
    <s v="2024-08-12"/>
    <x v="7"/>
    <x v="0"/>
    <x v="2"/>
    <n v="29"/>
    <n v="7569"/>
    <n v="2850"/>
    <x v="3"/>
    <n v="50"/>
    <n v="2"/>
    <n v="3.9"/>
    <n v="0.37653586999603644"/>
    <n v="261"/>
    <n v="7.25"/>
  </r>
  <r>
    <s v="2024-08-13"/>
    <x v="7"/>
    <x v="1"/>
    <x v="0"/>
    <n v="39"/>
    <n v="7254"/>
    <n v="2814"/>
    <x v="3"/>
    <n v="44"/>
    <n v="1"/>
    <n v="4.2"/>
    <n v="0.38792390405293631"/>
    <n v="186"/>
    <n v="9.75"/>
  </r>
  <r>
    <s v="2024-08-13"/>
    <x v="7"/>
    <x v="1"/>
    <x v="1"/>
    <n v="107"/>
    <n v="35631"/>
    <n v="11060"/>
    <x v="6"/>
    <n v="57"/>
    <n v="2"/>
    <n v="4.2"/>
    <n v="0.31040386180573099"/>
    <n v="333"/>
    <n v="11.888888888888889"/>
  </r>
  <r>
    <s v="2024-08-13"/>
    <x v="7"/>
    <x v="1"/>
    <x v="2"/>
    <n v="42"/>
    <n v="11634"/>
    <n v="3966"/>
    <x v="3"/>
    <n v="45"/>
    <n v="0"/>
    <n v="4.5"/>
    <n v="0.3408973697782362"/>
    <n v="277"/>
    <n v="10.5"/>
  </r>
  <r>
    <s v="2024-08-14"/>
    <x v="7"/>
    <x v="2"/>
    <x v="0"/>
    <n v="36"/>
    <n v="7848"/>
    <n v="2817"/>
    <x v="0"/>
    <n v="38"/>
    <n v="0"/>
    <n v="4.2"/>
    <n v="0.35894495412844035"/>
    <n v="218"/>
    <n v="12"/>
  </r>
  <r>
    <s v="2024-08-14"/>
    <x v="7"/>
    <x v="2"/>
    <x v="1"/>
    <n v="115"/>
    <n v="43355"/>
    <n v="14850"/>
    <x v="1"/>
    <n v="54"/>
    <n v="3"/>
    <n v="4.7"/>
    <n v="0.34252104716872334"/>
    <n v="377"/>
    <n v="11.5"/>
  </r>
  <r>
    <s v="2024-08-14"/>
    <x v="7"/>
    <x v="2"/>
    <x v="2"/>
    <n v="45"/>
    <n v="12960"/>
    <n v="3747"/>
    <x v="5"/>
    <n v="47"/>
    <n v="1"/>
    <n v="4"/>
    <n v="0.28912037037037036"/>
    <n v="288"/>
    <n v="9"/>
  </r>
  <r>
    <s v="2024-08-15"/>
    <x v="7"/>
    <x v="3"/>
    <x v="0"/>
    <n v="28"/>
    <n v="5180"/>
    <n v="2124"/>
    <x v="3"/>
    <n v="36"/>
    <n v="0"/>
    <n v="4.5"/>
    <n v="0.41003861003861003"/>
    <n v="185"/>
    <n v="7"/>
  </r>
  <r>
    <s v="2024-08-15"/>
    <x v="7"/>
    <x v="3"/>
    <x v="1"/>
    <n v="85"/>
    <n v="34935"/>
    <n v="13479"/>
    <x v="7"/>
    <n v="74"/>
    <n v="0"/>
    <n v="3.7"/>
    <n v="0.38583082868183771"/>
    <n v="411"/>
    <n v="10.625"/>
  </r>
  <r>
    <s v="2024-08-15"/>
    <x v="7"/>
    <x v="3"/>
    <x v="2"/>
    <n v="51"/>
    <n v="17289"/>
    <n v="7249"/>
    <x v="3"/>
    <n v="63"/>
    <n v="1"/>
    <n v="3.7"/>
    <n v="0.41928393776389611"/>
    <n v="339"/>
    <n v="12.75"/>
  </r>
  <r>
    <s v="2024-08-16"/>
    <x v="7"/>
    <x v="4"/>
    <x v="0"/>
    <n v="50"/>
    <n v="13450"/>
    <n v="5105"/>
    <x v="5"/>
    <n v="55"/>
    <n v="0"/>
    <n v="4.0999999999999996"/>
    <n v="0.37955390334572492"/>
    <n v="269"/>
    <n v="10"/>
  </r>
  <r>
    <s v="2024-08-16"/>
    <x v="7"/>
    <x v="4"/>
    <x v="1"/>
    <n v="178"/>
    <n v="70132"/>
    <n v="25270"/>
    <x v="7"/>
    <n v="67"/>
    <n v="0"/>
    <n v="4.4000000000000004"/>
    <n v="0.36032053841327782"/>
    <n v="394"/>
    <n v="22.25"/>
  </r>
  <r>
    <s v="2024-08-16"/>
    <x v="7"/>
    <x v="4"/>
    <x v="2"/>
    <n v="86"/>
    <n v="21414"/>
    <n v="7942"/>
    <x v="4"/>
    <n v="49"/>
    <n v="2"/>
    <n v="3.7"/>
    <n v="0.37087886429438682"/>
    <n v="249"/>
    <n v="14.333333333333334"/>
  </r>
  <r>
    <s v="2024-08-17"/>
    <x v="7"/>
    <x v="5"/>
    <x v="0"/>
    <n v="68"/>
    <n v="13328"/>
    <n v="5568"/>
    <x v="5"/>
    <n v="42"/>
    <n v="1"/>
    <n v="4.2"/>
    <n v="0.4177671068427371"/>
    <n v="196"/>
    <n v="13.6"/>
  </r>
  <r>
    <s v="2024-08-17"/>
    <x v="7"/>
    <x v="5"/>
    <x v="1"/>
    <n v="135"/>
    <n v="46440"/>
    <n v="15864"/>
    <x v="6"/>
    <n v="45"/>
    <n v="2"/>
    <n v="4.7"/>
    <n v="0.34160206718346253"/>
    <n v="344"/>
    <n v="15"/>
  </r>
  <r>
    <s v="2024-08-17"/>
    <x v="7"/>
    <x v="5"/>
    <x v="2"/>
    <n v="109"/>
    <n v="30738"/>
    <n v="10921"/>
    <x v="2"/>
    <n v="46"/>
    <n v="3"/>
    <n v="4.4000000000000004"/>
    <n v="0.35529312251935713"/>
    <n v="282"/>
    <n v="15.571428571428571"/>
  </r>
  <r>
    <s v="2024-08-18"/>
    <x v="7"/>
    <x v="6"/>
    <x v="0"/>
    <n v="67"/>
    <n v="13601"/>
    <n v="4895"/>
    <x v="0"/>
    <n v="55"/>
    <n v="2"/>
    <n v="4.3"/>
    <n v="0.35990000735240057"/>
    <n v="203"/>
    <n v="22.333333333333332"/>
  </r>
  <r>
    <s v="2024-08-18"/>
    <x v="7"/>
    <x v="6"/>
    <x v="1"/>
    <n v="85"/>
    <n v="39100"/>
    <n v="15937"/>
    <x v="4"/>
    <n v="48"/>
    <n v="2"/>
    <n v="4.3"/>
    <n v="0.40759590792838873"/>
    <n v="460"/>
    <n v="14.166666666666666"/>
  </r>
  <r>
    <s v="2024-08-18"/>
    <x v="7"/>
    <x v="6"/>
    <x v="2"/>
    <n v="88"/>
    <n v="28248"/>
    <n v="11020"/>
    <x v="2"/>
    <n v="60"/>
    <n v="1"/>
    <n v="3.7"/>
    <n v="0.39011611441517985"/>
    <n v="321"/>
    <n v="12.571428571428571"/>
  </r>
  <r>
    <s v="2024-08-19"/>
    <x v="7"/>
    <x v="0"/>
    <x v="0"/>
    <n v="21"/>
    <n v="5649"/>
    <n v="2184"/>
    <x v="0"/>
    <n v="40"/>
    <n v="1"/>
    <n v="4"/>
    <n v="0.38661710037174724"/>
    <n v="269"/>
    <n v="7"/>
  </r>
  <r>
    <s v="2024-08-19"/>
    <x v="7"/>
    <x v="0"/>
    <x v="1"/>
    <n v="62"/>
    <n v="26660"/>
    <n v="8437"/>
    <x v="4"/>
    <n v="61"/>
    <n v="4"/>
    <n v="3.6"/>
    <n v="0.31646661665416354"/>
    <n v="430"/>
    <n v="10.333333333333334"/>
  </r>
  <r>
    <s v="2024-08-19"/>
    <x v="7"/>
    <x v="0"/>
    <x v="2"/>
    <n v="44"/>
    <n v="11880"/>
    <n v="3943"/>
    <x v="2"/>
    <n v="63"/>
    <n v="1"/>
    <n v="3.8"/>
    <n v="0.33190235690235692"/>
    <n v="270"/>
    <n v="6.2857142857142856"/>
  </r>
  <r>
    <s v="2024-08-20"/>
    <x v="7"/>
    <x v="1"/>
    <x v="0"/>
    <n v="29"/>
    <n v="6409"/>
    <n v="2352"/>
    <x v="3"/>
    <n v="51"/>
    <n v="1"/>
    <n v="3.8"/>
    <n v="0.3669839288500546"/>
    <n v="221"/>
    <n v="7.25"/>
  </r>
  <r>
    <s v="2024-08-20"/>
    <x v="7"/>
    <x v="1"/>
    <x v="1"/>
    <n v="93"/>
    <n v="36735"/>
    <n v="11467"/>
    <x v="2"/>
    <n v="63"/>
    <n v="4"/>
    <n v="4.7"/>
    <n v="0.31215462093371443"/>
    <n v="395"/>
    <n v="13.285714285714286"/>
  </r>
  <r>
    <s v="2024-08-20"/>
    <x v="7"/>
    <x v="1"/>
    <x v="2"/>
    <n v="29"/>
    <n v="9251"/>
    <n v="3707"/>
    <x v="5"/>
    <n v="46"/>
    <n v="1"/>
    <n v="3.8"/>
    <n v="0.40071343638525564"/>
    <n v="319"/>
    <n v="5.8"/>
  </r>
  <r>
    <s v="2024-08-21"/>
    <x v="7"/>
    <x v="2"/>
    <x v="0"/>
    <n v="45"/>
    <n v="10800"/>
    <n v="4535"/>
    <x v="3"/>
    <n v="50"/>
    <n v="2"/>
    <n v="4.0999999999999996"/>
    <n v="0.4199074074074074"/>
    <n v="240"/>
    <n v="11.25"/>
  </r>
  <r>
    <s v="2024-08-21"/>
    <x v="7"/>
    <x v="2"/>
    <x v="1"/>
    <n v="70"/>
    <n v="33600"/>
    <n v="12529"/>
    <x v="1"/>
    <n v="69"/>
    <n v="0"/>
    <n v="3.9"/>
    <n v="0.37288690476190478"/>
    <n v="480"/>
    <n v="7"/>
  </r>
  <r>
    <s v="2024-08-21"/>
    <x v="7"/>
    <x v="2"/>
    <x v="2"/>
    <n v="27"/>
    <n v="8127"/>
    <n v="2861"/>
    <x v="4"/>
    <n v="64"/>
    <n v="1"/>
    <n v="3.9"/>
    <n v="0.35203642180386369"/>
    <n v="301"/>
    <n v="4.5"/>
  </r>
  <r>
    <s v="2024-08-22"/>
    <x v="7"/>
    <x v="3"/>
    <x v="0"/>
    <n v="37"/>
    <n v="7178"/>
    <n v="2054"/>
    <x v="0"/>
    <n v="36"/>
    <n v="1"/>
    <n v="4.0999999999999996"/>
    <n v="0.28615213151295626"/>
    <n v="194"/>
    <n v="12.333333333333334"/>
  </r>
  <r>
    <s v="2024-08-22"/>
    <x v="7"/>
    <x v="3"/>
    <x v="1"/>
    <n v="120"/>
    <n v="46680"/>
    <n v="19172"/>
    <x v="1"/>
    <n v="56"/>
    <n v="2"/>
    <n v="4.5999999999999996"/>
    <n v="0.41071122536418164"/>
    <n v="389"/>
    <n v="12"/>
  </r>
  <r>
    <s v="2024-08-22"/>
    <x v="7"/>
    <x v="3"/>
    <x v="2"/>
    <n v="67"/>
    <n v="18760"/>
    <n v="7258"/>
    <x v="4"/>
    <n v="58"/>
    <n v="0"/>
    <n v="3.6"/>
    <n v="0.3868869936034115"/>
    <n v="280"/>
    <n v="11.166666666666666"/>
  </r>
  <r>
    <s v="2024-08-23"/>
    <x v="7"/>
    <x v="4"/>
    <x v="0"/>
    <n v="36"/>
    <n v="8424"/>
    <n v="3100"/>
    <x v="0"/>
    <n v="55"/>
    <n v="0"/>
    <n v="3.9"/>
    <n v="0.36799620132953464"/>
    <n v="234"/>
    <n v="12"/>
  </r>
  <r>
    <s v="2024-08-23"/>
    <x v="7"/>
    <x v="4"/>
    <x v="1"/>
    <n v="164"/>
    <n v="49692"/>
    <n v="20366"/>
    <x v="4"/>
    <n v="63"/>
    <n v="0"/>
    <n v="4.3"/>
    <n v="0.40984464300088547"/>
    <n v="303"/>
    <n v="27.333333333333332"/>
  </r>
  <r>
    <s v="2024-08-23"/>
    <x v="7"/>
    <x v="4"/>
    <x v="2"/>
    <n v="93"/>
    <n v="31992"/>
    <n v="12879"/>
    <x v="5"/>
    <n v="41"/>
    <n v="0"/>
    <n v="4.3"/>
    <n v="0.40256939234808703"/>
    <n v="344"/>
    <n v="18.600000000000001"/>
  </r>
  <r>
    <s v="2024-08-24"/>
    <x v="7"/>
    <x v="5"/>
    <x v="0"/>
    <n v="64"/>
    <n v="13248"/>
    <n v="5126"/>
    <x v="3"/>
    <n v="47"/>
    <n v="2"/>
    <n v="3.8"/>
    <n v="0.38692632850241548"/>
    <n v="207"/>
    <n v="16"/>
  </r>
  <r>
    <s v="2024-08-24"/>
    <x v="7"/>
    <x v="5"/>
    <x v="1"/>
    <n v="145"/>
    <n v="52200"/>
    <n v="15255"/>
    <x v="4"/>
    <n v="60"/>
    <n v="4"/>
    <n v="3.9"/>
    <n v="0.29224137931034483"/>
    <n v="360"/>
    <n v="24.166666666666668"/>
  </r>
  <r>
    <s v="2024-08-24"/>
    <x v="7"/>
    <x v="5"/>
    <x v="2"/>
    <n v="107"/>
    <n v="32849"/>
    <n v="13501"/>
    <x v="2"/>
    <n v="44"/>
    <n v="1"/>
    <n v="4"/>
    <n v="0.41100185698194769"/>
    <n v="307"/>
    <n v="15.285714285714286"/>
  </r>
  <r>
    <s v="2024-08-25"/>
    <x v="7"/>
    <x v="6"/>
    <x v="0"/>
    <n v="55"/>
    <n v="10615"/>
    <n v="4420"/>
    <x v="0"/>
    <n v="54"/>
    <n v="2"/>
    <n v="4.2"/>
    <n v="0.41639189825718326"/>
    <n v="193"/>
    <n v="18.333333333333332"/>
  </r>
  <r>
    <s v="2024-08-25"/>
    <x v="7"/>
    <x v="6"/>
    <x v="1"/>
    <n v="180"/>
    <n v="76140"/>
    <n v="28676"/>
    <x v="6"/>
    <n v="68"/>
    <n v="1"/>
    <n v="4.2"/>
    <n v="0.376622012083005"/>
    <n v="423"/>
    <n v="20"/>
  </r>
  <r>
    <s v="2024-08-25"/>
    <x v="7"/>
    <x v="6"/>
    <x v="2"/>
    <n v="65"/>
    <n v="21710"/>
    <n v="7843"/>
    <x v="4"/>
    <n v="42"/>
    <n v="1"/>
    <n v="3.8"/>
    <n v="0.36126209120221098"/>
    <n v="334"/>
    <n v="10.833333333333334"/>
  </r>
  <r>
    <s v="2024-08-26"/>
    <x v="7"/>
    <x v="0"/>
    <x v="0"/>
    <n v="25"/>
    <n v="6525"/>
    <n v="2294"/>
    <x v="0"/>
    <n v="35"/>
    <n v="1"/>
    <n v="4.4000000000000004"/>
    <n v="0.35157088122605362"/>
    <n v="261"/>
    <n v="8.3333333333333339"/>
  </r>
  <r>
    <s v="2024-08-26"/>
    <x v="7"/>
    <x v="0"/>
    <x v="1"/>
    <n v="84"/>
    <n v="26376"/>
    <n v="8780"/>
    <x v="2"/>
    <n v="50"/>
    <n v="1"/>
    <n v="3.9"/>
    <n v="0.33287837427964817"/>
    <n v="314"/>
    <n v="12"/>
  </r>
  <r>
    <s v="2024-08-26"/>
    <x v="7"/>
    <x v="0"/>
    <x v="2"/>
    <n v="52"/>
    <n v="14560"/>
    <n v="4844"/>
    <x v="4"/>
    <n v="40"/>
    <n v="3"/>
    <n v="3.9"/>
    <n v="0.33269230769230768"/>
    <n v="280"/>
    <n v="8.6666666666666661"/>
  </r>
  <r>
    <s v="2024-08-27"/>
    <x v="7"/>
    <x v="1"/>
    <x v="0"/>
    <n v="21"/>
    <n v="3822"/>
    <n v="1132"/>
    <x v="3"/>
    <n v="42"/>
    <n v="0"/>
    <n v="3.9"/>
    <n v="0.29618001046572473"/>
    <n v="182"/>
    <n v="5.25"/>
  </r>
  <r>
    <s v="2024-08-27"/>
    <x v="7"/>
    <x v="1"/>
    <x v="1"/>
    <n v="68"/>
    <n v="32096"/>
    <n v="9061"/>
    <x v="2"/>
    <n v="71"/>
    <n v="0"/>
    <n v="4.7"/>
    <n v="0.2823093220338983"/>
    <n v="472"/>
    <n v="9.7142857142857135"/>
  </r>
  <r>
    <s v="2024-08-27"/>
    <x v="7"/>
    <x v="1"/>
    <x v="2"/>
    <n v="24"/>
    <n v="7224"/>
    <n v="2903"/>
    <x v="2"/>
    <n v="63"/>
    <n v="1"/>
    <n v="4.4000000000000004"/>
    <n v="0.40185492801771872"/>
    <n v="301"/>
    <n v="3.4285714285714284"/>
  </r>
  <r>
    <s v="2024-08-28"/>
    <x v="7"/>
    <x v="2"/>
    <x v="0"/>
    <n v="19"/>
    <n v="4009"/>
    <n v="1484"/>
    <x v="3"/>
    <n v="54"/>
    <n v="0"/>
    <n v="4.2"/>
    <n v="0.3701671239710651"/>
    <n v="211"/>
    <n v="4.75"/>
  </r>
  <r>
    <s v="2024-08-28"/>
    <x v="7"/>
    <x v="2"/>
    <x v="1"/>
    <n v="79"/>
    <n v="36893"/>
    <n v="11985"/>
    <x v="4"/>
    <n v="70"/>
    <n v="2"/>
    <n v="3.6"/>
    <n v="0.32485837421733121"/>
    <n v="467"/>
    <n v="13.166666666666666"/>
  </r>
  <r>
    <s v="2024-08-28"/>
    <x v="7"/>
    <x v="2"/>
    <x v="2"/>
    <n v="44"/>
    <n v="12980"/>
    <n v="3638"/>
    <x v="3"/>
    <n v="56"/>
    <n v="2"/>
    <n v="3.9"/>
    <n v="0.28027734976887519"/>
    <n v="295"/>
    <n v="11"/>
  </r>
  <r>
    <s v="2024-08-29"/>
    <x v="7"/>
    <x v="3"/>
    <x v="0"/>
    <n v="27"/>
    <n v="5481"/>
    <n v="1706"/>
    <x v="0"/>
    <n v="38"/>
    <n v="2"/>
    <n v="4"/>
    <n v="0.31125706987775953"/>
    <n v="203"/>
    <n v="9"/>
  </r>
  <r>
    <s v="2024-08-29"/>
    <x v="7"/>
    <x v="3"/>
    <x v="1"/>
    <n v="73"/>
    <n v="31098"/>
    <n v="12256"/>
    <x v="4"/>
    <n v="54"/>
    <n v="2"/>
    <n v="4.4000000000000004"/>
    <n v="0.39410894591292045"/>
    <n v="426"/>
    <n v="12.166666666666666"/>
  </r>
  <r>
    <s v="2024-08-29"/>
    <x v="7"/>
    <x v="3"/>
    <x v="2"/>
    <n v="39"/>
    <n v="10413"/>
    <n v="3899"/>
    <x v="2"/>
    <n v="44"/>
    <n v="1"/>
    <n v="3.6"/>
    <n v="0.37443580140209354"/>
    <n v="267"/>
    <n v="5.5714285714285712"/>
  </r>
  <r>
    <s v="2024-08-30"/>
    <x v="7"/>
    <x v="4"/>
    <x v="0"/>
    <n v="58"/>
    <n v="10498"/>
    <n v="3276"/>
    <x v="3"/>
    <n v="40"/>
    <n v="0"/>
    <n v="4"/>
    <n v="0.31205943989331303"/>
    <n v="181"/>
    <n v="14.5"/>
  </r>
  <r>
    <s v="2024-08-30"/>
    <x v="7"/>
    <x v="4"/>
    <x v="1"/>
    <n v="106"/>
    <n v="37524"/>
    <n v="14954"/>
    <x v="2"/>
    <n v="48"/>
    <n v="2"/>
    <n v="4.3"/>
    <n v="0.39851828163308817"/>
    <n v="354"/>
    <n v="15.142857142857142"/>
  </r>
  <r>
    <s v="2024-08-30"/>
    <x v="7"/>
    <x v="4"/>
    <x v="2"/>
    <n v="60"/>
    <n v="18000"/>
    <n v="5964"/>
    <x v="5"/>
    <n v="49"/>
    <n v="3"/>
    <n v="4"/>
    <n v="0.33133333333333331"/>
    <n v="300"/>
    <n v="12"/>
  </r>
  <r>
    <s v="2024-08-31"/>
    <x v="7"/>
    <x v="5"/>
    <x v="0"/>
    <n v="71"/>
    <n v="13490"/>
    <n v="5526"/>
    <x v="3"/>
    <n v="53"/>
    <n v="2"/>
    <n v="4.0999999999999996"/>
    <n v="0.40963676797627874"/>
    <n v="190"/>
    <n v="17.75"/>
  </r>
  <r>
    <s v="2024-08-31"/>
    <x v="7"/>
    <x v="5"/>
    <x v="1"/>
    <n v="165"/>
    <n v="59400"/>
    <n v="16916"/>
    <x v="7"/>
    <n v="56"/>
    <n v="4"/>
    <n v="3.5"/>
    <n v="0.2847811447811448"/>
    <n v="360"/>
    <n v="20.625"/>
  </r>
  <r>
    <s v="2024-08-31"/>
    <x v="7"/>
    <x v="5"/>
    <x v="2"/>
    <n v="56"/>
    <n v="16352"/>
    <n v="4749"/>
    <x v="3"/>
    <n v="44"/>
    <n v="3"/>
    <n v="4.4000000000000004"/>
    <n v="0.29042318982387477"/>
    <n v="292"/>
    <n v="14"/>
  </r>
  <r>
    <s v="2024-09-01"/>
    <x v="8"/>
    <x v="6"/>
    <x v="0"/>
    <n v="42"/>
    <n v="9996"/>
    <n v="2830"/>
    <x v="3"/>
    <n v="54"/>
    <n v="0"/>
    <n v="4.4000000000000004"/>
    <n v="0.28311324529811926"/>
    <n v="238"/>
    <n v="10.5"/>
  </r>
  <r>
    <s v="2024-09-01"/>
    <x v="8"/>
    <x v="6"/>
    <x v="1"/>
    <n v="143"/>
    <n v="48906"/>
    <n v="16817"/>
    <x v="4"/>
    <n v="47"/>
    <n v="4"/>
    <n v="4.5999999999999996"/>
    <n v="0.34386373860058073"/>
    <n v="342"/>
    <n v="23.833333333333332"/>
  </r>
  <r>
    <s v="2024-09-01"/>
    <x v="8"/>
    <x v="6"/>
    <x v="2"/>
    <n v="91"/>
    <n v="22477"/>
    <n v="6392"/>
    <x v="3"/>
    <n v="62"/>
    <n v="2"/>
    <n v="3.8"/>
    <n v="0.2843795880233127"/>
    <n v="247"/>
    <n v="22.75"/>
  </r>
  <r>
    <s v="2024-09-02"/>
    <x v="8"/>
    <x v="0"/>
    <x v="0"/>
    <n v="29"/>
    <n v="5771"/>
    <n v="1999"/>
    <x v="3"/>
    <n v="50"/>
    <n v="2"/>
    <n v="4.0999999999999996"/>
    <n v="0.34638710795356092"/>
    <n v="199"/>
    <n v="7.25"/>
  </r>
  <r>
    <s v="2024-09-02"/>
    <x v="8"/>
    <x v="0"/>
    <x v="1"/>
    <n v="84"/>
    <n v="36624"/>
    <n v="11341"/>
    <x v="4"/>
    <n v="62"/>
    <n v="0"/>
    <n v="4.5"/>
    <n v="0.30966033202271737"/>
    <n v="436"/>
    <n v="14"/>
  </r>
  <r>
    <s v="2024-09-02"/>
    <x v="8"/>
    <x v="0"/>
    <x v="2"/>
    <n v="36"/>
    <n v="8136"/>
    <n v="3322"/>
    <x v="2"/>
    <n v="58"/>
    <n v="2"/>
    <n v="4.5"/>
    <n v="0.4083087512291052"/>
    <n v="226"/>
    <n v="5.1428571428571432"/>
  </r>
  <r>
    <s v="2024-09-03"/>
    <x v="8"/>
    <x v="1"/>
    <x v="0"/>
    <n v="16"/>
    <n v="3904"/>
    <n v="1340"/>
    <x v="5"/>
    <n v="54"/>
    <n v="0"/>
    <n v="4.4000000000000004"/>
    <n v="0.34323770491803279"/>
    <n v="244"/>
    <n v="3.2"/>
  </r>
  <r>
    <s v="2024-09-03"/>
    <x v="8"/>
    <x v="1"/>
    <x v="1"/>
    <n v="78"/>
    <n v="36270"/>
    <n v="11524"/>
    <x v="4"/>
    <n v="61"/>
    <n v="0"/>
    <n v="4.5999999999999996"/>
    <n v="0.31772814998621451"/>
    <n v="465"/>
    <n v="13"/>
  </r>
  <r>
    <s v="2024-09-03"/>
    <x v="8"/>
    <x v="1"/>
    <x v="2"/>
    <n v="36"/>
    <n v="7812"/>
    <n v="2922"/>
    <x v="2"/>
    <n v="54"/>
    <n v="1"/>
    <n v="4.0999999999999996"/>
    <n v="0.3740399385560676"/>
    <n v="217"/>
    <n v="5.1428571428571432"/>
  </r>
  <r>
    <s v="2024-09-04"/>
    <x v="8"/>
    <x v="2"/>
    <x v="0"/>
    <n v="42"/>
    <n v="10710"/>
    <n v="3457"/>
    <x v="0"/>
    <n v="42"/>
    <n v="2"/>
    <n v="4.2"/>
    <n v="0.3227824463118581"/>
    <n v="255"/>
    <n v="14"/>
  </r>
  <r>
    <s v="2024-09-04"/>
    <x v="8"/>
    <x v="2"/>
    <x v="1"/>
    <n v="81"/>
    <n v="29889"/>
    <n v="12467"/>
    <x v="4"/>
    <n v="56"/>
    <n v="0"/>
    <n v="3.5"/>
    <n v="0.41710997356887147"/>
    <n v="369"/>
    <n v="13.5"/>
  </r>
  <r>
    <s v="2024-09-04"/>
    <x v="8"/>
    <x v="2"/>
    <x v="2"/>
    <n v="28"/>
    <n v="8260"/>
    <n v="2473"/>
    <x v="2"/>
    <n v="60"/>
    <n v="1"/>
    <n v="4.4000000000000004"/>
    <n v="0.29939467312348667"/>
    <n v="295"/>
    <n v="4"/>
  </r>
  <r>
    <s v="2024-09-05"/>
    <x v="8"/>
    <x v="3"/>
    <x v="0"/>
    <n v="51"/>
    <n v="11526"/>
    <n v="3673"/>
    <x v="0"/>
    <n v="47"/>
    <n v="1"/>
    <n v="4"/>
    <n v="0.31867083116432415"/>
    <n v="226"/>
    <n v="17"/>
  </r>
  <r>
    <s v="2024-09-05"/>
    <x v="8"/>
    <x v="3"/>
    <x v="1"/>
    <n v="110"/>
    <n v="32120"/>
    <n v="11652"/>
    <x v="4"/>
    <n v="74"/>
    <n v="4"/>
    <n v="3.9"/>
    <n v="0.3627646326276463"/>
    <n v="292"/>
    <n v="18.333333333333332"/>
  </r>
  <r>
    <s v="2024-09-05"/>
    <x v="8"/>
    <x v="3"/>
    <x v="2"/>
    <n v="49"/>
    <n v="14357"/>
    <n v="4564"/>
    <x v="2"/>
    <n v="40"/>
    <n v="2"/>
    <n v="4.3"/>
    <n v="0.31789371038517794"/>
    <n v="293"/>
    <n v="7"/>
  </r>
  <r>
    <s v="2024-09-06"/>
    <x v="8"/>
    <x v="4"/>
    <x v="0"/>
    <n v="33"/>
    <n v="8580"/>
    <n v="3282"/>
    <x v="5"/>
    <n v="48"/>
    <n v="0"/>
    <n v="4"/>
    <n v="0.38251748251748252"/>
    <n v="260"/>
    <n v="6.6"/>
  </r>
  <r>
    <s v="2024-09-06"/>
    <x v="8"/>
    <x v="4"/>
    <x v="1"/>
    <n v="140"/>
    <n v="40460"/>
    <n v="16601"/>
    <x v="4"/>
    <n v="57"/>
    <n v="2"/>
    <n v="3.8"/>
    <n v="0.41030647553138905"/>
    <n v="289"/>
    <n v="23.333333333333332"/>
  </r>
  <r>
    <s v="2024-09-06"/>
    <x v="8"/>
    <x v="4"/>
    <x v="2"/>
    <n v="42"/>
    <n v="13650"/>
    <n v="5159"/>
    <x v="5"/>
    <n v="64"/>
    <n v="0"/>
    <n v="4.3"/>
    <n v="0.37794871794871793"/>
    <n v="325"/>
    <n v="8.4"/>
  </r>
  <r>
    <s v="2024-09-07"/>
    <x v="8"/>
    <x v="5"/>
    <x v="0"/>
    <n v="28"/>
    <n v="5880"/>
    <n v="2069"/>
    <x v="3"/>
    <n v="37"/>
    <n v="1"/>
    <n v="4.2"/>
    <n v="0.35187074829931975"/>
    <n v="210"/>
    <n v="7"/>
  </r>
  <r>
    <s v="2024-09-07"/>
    <x v="8"/>
    <x v="5"/>
    <x v="1"/>
    <n v="114"/>
    <n v="43776"/>
    <n v="17537"/>
    <x v="4"/>
    <n v="66"/>
    <n v="2"/>
    <n v="3.9"/>
    <n v="0.4006076388888889"/>
    <n v="384"/>
    <n v="19"/>
  </r>
  <r>
    <s v="2024-09-07"/>
    <x v="8"/>
    <x v="5"/>
    <x v="2"/>
    <n v="68"/>
    <n v="22032"/>
    <n v="7604"/>
    <x v="2"/>
    <n v="48"/>
    <n v="1"/>
    <n v="4.0999999999999996"/>
    <n v="0.34513435003631082"/>
    <n v="324"/>
    <n v="9.7142857142857135"/>
  </r>
  <r>
    <s v="2024-09-08"/>
    <x v="8"/>
    <x v="6"/>
    <x v="0"/>
    <n v="66"/>
    <n v="13464"/>
    <n v="5207"/>
    <x v="3"/>
    <n v="45"/>
    <n v="1"/>
    <n v="4"/>
    <n v="0.38673499702911468"/>
    <n v="204"/>
    <n v="16.5"/>
  </r>
  <r>
    <s v="2024-09-08"/>
    <x v="8"/>
    <x v="6"/>
    <x v="1"/>
    <n v="124"/>
    <n v="55800"/>
    <n v="16494"/>
    <x v="1"/>
    <n v="51"/>
    <n v="1"/>
    <n v="4.2"/>
    <n v="0.29559139784946237"/>
    <n v="450"/>
    <n v="12.4"/>
  </r>
  <r>
    <s v="2024-09-08"/>
    <x v="8"/>
    <x v="6"/>
    <x v="2"/>
    <n v="49"/>
    <n v="10290"/>
    <n v="3702"/>
    <x v="5"/>
    <n v="43"/>
    <n v="3"/>
    <n v="4.2"/>
    <n v="0.35976676384839651"/>
    <n v="210"/>
    <n v="9.8000000000000007"/>
  </r>
  <r>
    <s v="2024-09-09"/>
    <x v="8"/>
    <x v="0"/>
    <x v="0"/>
    <n v="41"/>
    <n v="10865"/>
    <n v="3640"/>
    <x v="5"/>
    <n v="46"/>
    <n v="1"/>
    <n v="4.4000000000000004"/>
    <n v="0.33502070869765299"/>
    <n v="265"/>
    <n v="8.1999999999999993"/>
  </r>
  <r>
    <s v="2024-09-09"/>
    <x v="8"/>
    <x v="0"/>
    <x v="1"/>
    <n v="98"/>
    <n v="43708"/>
    <n v="12791"/>
    <x v="1"/>
    <n v="49"/>
    <n v="1"/>
    <n v="3.7"/>
    <n v="0.29264665507458587"/>
    <n v="446"/>
    <n v="9.8000000000000007"/>
  </r>
  <r>
    <s v="2024-09-09"/>
    <x v="8"/>
    <x v="0"/>
    <x v="2"/>
    <n v="32"/>
    <n v="10784"/>
    <n v="4418"/>
    <x v="3"/>
    <n v="54"/>
    <n v="2"/>
    <n v="3.7"/>
    <n v="0.40968100890207715"/>
    <n v="337"/>
    <n v="8"/>
  </r>
  <r>
    <s v="2024-09-10"/>
    <x v="8"/>
    <x v="1"/>
    <x v="0"/>
    <n v="17"/>
    <n v="3689"/>
    <n v="1463"/>
    <x v="0"/>
    <n v="40"/>
    <n v="0"/>
    <n v="4.0999999999999996"/>
    <n v="0.396584440227704"/>
    <n v="217"/>
    <n v="5.666666666666667"/>
  </r>
  <r>
    <s v="2024-09-10"/>
    <x v="8"/>
    <x v="1"/>
    <x v="1"/>
    <n v="66"/>
    <n v="22308"/>
    <n v="8899"/>
    <x v="4"/>
    <n v="57"/>
    <n v="2"/>
    <n v="3.5"/>
    <n v="0.39891518737672582"/>
    <n v="338"/>
    <n v="11"/>
  </r>
  <r>
    <s v="2024-09-10"/>
    <x v="8"/>
    <x v="1"/>
    <x v="2"/>
    <n v="51"/>
    <n v="13056"/>
    <n v="4131"/>
    <x v="4"/>
    <n v="64"/>
    <n v="2"/>
    <n v="3.7"/>
    <n v="0.31640625"/>
    <n v="256"/>
    <n v="8.5"/>
  </r>
  <r>
    <s v="2024-09-11"/>
    <x v="8"/>
    <x v="2"/>
    <x v="0"/>
    <n v="40"/>
    <n v="7800"/>
    <n v="2318"/>
    <x v="3"/>
    <n v="55"/>
    <n v="2"/>
    <n v="3.8"/>
    <n v="0.29717948717948717"/>
    <n v="195"/>
    <n v="10"/>
  </r>
  <r>
    <s v="2024-09-11"/>
    <x v="8"/>
    <x v="2"/>
    <x v="1"/>
    <n v="76"/>
    <n v="23940"/>
    <n v="7717"/>
    <x v="4"/>
    <n v="50"/>
    <n v="0"/>
    <n v="4.4000000000000004"/>
    <n v="0.32234753550543022"/>
    <n v="315"/>
    <n v="12.666666666666666"/>
  </r>
  <r>
    <s v="2024-09-11"/>
    <x v="8"/>
    <x v="2"/>
    <x v="2"/>
    <n v="26"/>
    <n v="7098"/>
    <n v="2548"/>
    <x v="2"/>
    <n v="40"/>
    <n v="0"/>
    <n v="4.2"/>
    <n v="0.35897435897435898"/>
    <n v="273"/>
    <n v="3.7142857142857144"/>
  </r>
  <r>
    <s v="2024-09-12"/>
    <x v="8"/>
    <x v="3"/>
    <x v="0"/>
    <n v="17"/>
    <n v="3519"/>
    <n v="988"/>
    <x v="3"/>
    <n v="43"/>
    <n v="0"/>
    <n v="4.3"/>
    <n v="0.28076157999431656"/>
    <n v="207"/>
    <n v="4.25"/>
  </r>
  <r>
    <s v="2024-09-12"/>
    <x v="8"/>
    <x v="3"/>
    <x v="1"/>
    <n v="76"/>
    <n v="30172"/>
    <n v="10315"/>
    <x v="1"/>
    <n v="52"/>
    <n v="4"/>
    <n v="3.8"/>
    <n v="0.34187325997613682"/>
    <n v="397"/>
    <n v="7.6"/>
  </r>
  <r>
    <s v="2024-09-12"/>
    <x v="8"/>
    <x v="3"/>
    <x v="2"/>
    <n v="34"/>
    <n v="8704"/>
    <n v="3362"/>
    <x v="2"/>
    <n v="48"/>
    <n v="0"/>
    <n v="3.7"/>
    <n v="0.38625919117647056"/>
    <n v="256"/>
    <n v="4.8571428571428568"/>
  </r>
  <r>
    <s v="2024-09-13"/>
    <x v="8"/>
    <x v="4"/>
    <x v="0"/>
    <n v="48"/>
    <n v="13344"/>
    <n v="4124"/>
    <x v="0"/>
    <n v="53"/>
    <n v="2"/>
    <n v="4.0999999999999996"/>
    <n v="0.30905275779376501"/>
    <n v="278"/>
    <n v="16"/>
  </r>
  <r>
    <s v="2024-09-13"/>
    <x v="8"/>
    <x v="4"/>
    <x v="1"/>
    <n v="87"/>
    <n v="29928"/>
    <n v="12401"/>
    <x v="6"/>
    <n v="47"/>
    <n v="1"/>
    <n v="4.7"/>
    <n v="0.41436113338679498"/>
    <n v="344"/>
    <n v="9.6666666666666661"/>
  </r>
  <r>
    <s v="2024-09-13"/>
    <x v="8"/>
    <x v="4"/>
    <x v="2"/>
    <n v="67"/>
    <n v="18023"/>
    <n v="7020"/>
    <x v="3"/>
    <n v="60"/>
    <n v="1"/>
    <n v="3.7"/>
    <n v="0.38950230261332741"/>
    <n v="269"/>
    <n v="16.75"/>
  </r>
  <r>
    <s v="2024-09-14"/>
    <x v="8"/>
    <x v="5"/>
    <x v="0"/>
    <n v="51"/>
    <n v="13617"/>
    <n v="5459"/>
    <x v="3"/>
    <n v="48"/>
    <n v="2"/>
    <n v="4.0999999999999996"/>
    <n v="0.40089593889990455"/>
    <n v="267"/>
    <n v="12.75"/>
  </r>
  <r>
    <s v="2024-09-14"/>
    <x v="8"/>
    <x v="5"/>
    <x v="1"/>
    <n v="152"/>
    <n v="55632"/>
    <n v="23200"/>
    <x v="7"/>
    <n v="49"/>
    <n v="3"/>
    <n v="4.4000000000000004"/>
    <n v="0.41702617198734543"/>
    <n v="366"/>
    <n v="19"/>
  </r>
  <r>
    <s v="2024-09-14"/>
    <x v="8"/>
    <x v="5"/>
    <x v="2"/>
    <n v="49"/>
    <n v="10094"/>
    <n v="3281"/>
    <x v="3"/>
    <n v="49"/>
    <n v="3"/>
    <n v="4.0999999999999996"/>
    <n v="0.32504458093917177"/>
    <n v="206"/>
    <n v="12.25"/>
  </r>
  <r>
    <s v="2024-09-15"/>
    <x v="8"/>
    <x v="6"/>
    <x v="0"/>
    <n v="55"/>
    <n v="14245"/>
    <n v="5493"/>
    <x v="5"/>
    <n v="38"/>
    <n v="2"/>
    <n v="4.2"/>
    <n v="0.3856089856089856"/>
    <n v="259"/>
    <n v="11"/>
  </r>
  <r>
    <s v="2024-09-15"/>
    <x v="8"/>
    <x v="6"/>
    <x v="1"/>
    <n v="166"/>
    <n v="68724"/>
    <n v="25752"/>
    <x v="7"/>
    <n v="52"/>
    <n v="3"/>
    <n v="3.8"/>
    <n v="0.37471625632966649"/>
    <n v="414"/>
    <n v="20.75"/>
  </r>
  <r>
    <s v="2024-09-15"/>
    <x v="8"/>
    <x v="6"/>
    <x v="2"/>
    <n v="42"/>
    <n v="14700"/>
    <n v="5354"/>
    <x v="3"/>
    <n v="65"/>
    <n v="0"/>
    <n v="3.9"/>
    <n v="0.36421768707482993"/>
    <n v="350"/>
    <n v="10.5"/>
  </r>
  <r>
    <s v="2024-09-16"/>
    <x v="8"/>
    <x v="0"/>
    <x v="0"/>
    <n v="21"/>
    <n v="4767"/>
    <n v="1692"/>
    <x v="0"/>
    <n v="43"/>
    <n v="2"/>
    <n v="4.0999999999999996"/>
    <n v="0.35494021397105097"/>
    <n v="227"/>
    <n v="7"/>
  </r>
  <r>
    <s v="2024-09-16"/>
    <x v="8"/>
    <x v="0"/>
    <x v="1"/>
    <n v="102"/>
    <n v="39678"/>
    <n v="11815"/>
    <x v="4"/>
    <n v="46"/>
    <n v="1"/>
    <n v="3.8"/>
    <n v="0.2977720651242502"/>
    <n v="389"/>
    <n v="17"/>
  </r>
  <r>
    <s v="2024-09-16"/>
    <x v="8"/>
    <x v="0"/>
    <x v="2"/>
    <n v="32"/>
    <n v="7072"/>
    <n v="2833"/>
    <x v="5"/>
    <n v="55"/>
    <n v="2"/>
    <n v="4.0999999999999996"/>
    <n v="0.40059389140271495"/>
    <n v="221"/>
    <n v="6.4"/>
  </r>
  <r>
    <s v="2024-09-17"/>
    <x v="8"/>
    <x v="1"/>
    <x v="0"/>
    <n v="17"/>
    <n v="3094"/>
    <n v="905"/>
    <x v="5"/>
    <n v="52"/>
    <n v="1"/>
    <n v="4.4000000000000004"/>
    <n v="0.29250161603102781"/>
    <n v="182"/>
    <n v="3.4"/>
  </r>
  <r>
    <s v="2024-09-17"/>
    <x v="8"/>
    <x v="1"/>
    <x v="1"/>
    <n v="102"/>
    <n v="32334"/>
    <n v="11623"/>
    <x v="6"/>
    <n v="59"/>
    <n v="3"/>
    <n v="3.6"/>
    <n v="0.35946681511721407"/>
    <n v="317"/>
    <n v="11.333333333333334"/>
  </r>
  <r>
    <s v="2024-09-17"/>
    <x v="8"/>
    <x v="1"/>
    <x v="2"/>
    <n v="49"/>
    <n v="10339"/>
    <n v="3557"/>
    <x v="2"/>
    <n v="53"/>
    <n v="0"/>
    <n v="4.3"/>
    <n v="0.34403714092271981"/>
    <n v="211"/>
    <n v="7"/>
  </r>
  <r>
    <s v="2024-09-18"/>
    <x v="8"/>
    <x v="2"/>
    <x v="0"/>
    <n v="23"/>
    <n v="6325"/>
    <n v="1800"/>
    <x v="3"/>
    <n v="39"/>
    <n v="2"/>
    <n v="4.0999999999999996"/>
    <n v="0.28458498023715417"/>
    <n v="275"/>
    <n v="5.75"/>
  </r>
  <r>
    <s v="2024-09-18"/>
    <x v="8"/>
    <x v="2"/>
    <x v="1"/>
    <n v="73"/>
    <n v="30441"/>
    <n v="11774"/>
    <x v="6"/>
    <n v="63"/>
    <n v="4"/>
    <n v="3.6"/>
    <n v="0.38678098616996814"/>
    <n v="417"/>
    <n v="8.1111111111111107"/>
  </r>
  <r>
    <s v="2024-09-18"/>
    <x v="8"/>
    <x v="2"/>
    <x v="2"/>
    <n v="48"/>
    <n v="15984"/>
    <n v="5201"/>
    <x v="2"/>
    <n v="48"/>
    <n v="0"/>
    <n v="4.0999999999999996"/>
    <n v="0.32538788788788786"/>
    <n v="333"/>
    <n v="6.8571428571428568"/>
  </r>
  <r>
    <s v="2024-09-19"/>
    <x v="8"/>
    <x v="3"/>
    <x v="0"/>
    <n v="34"/>
    <n v="6120"/>
    <n v="2379"/>
    <x v="5"/>
    <n v="47"/>
    <n v="1"/>
    <n v="4.4000000000000004"/>
    <n v="0.38872549019607844"/>
    <n v="180"/>
    <n v="6.8"/>
  </r>
  <r>
    <s v="2024-09-19"/>
    <x v="8"/>
    <x v="3"/>
    <x v="1"/>
    <n v="120"/>
    <n v="56640"/>
    <n v="19708"/>
    <x v="6"/>
    <n v="60"/>
    <n v="1"/>
    <n v="4.2"/>
    <n v="0.34795197740112993"/>
    <n v="472"/>
    <n v="13.333333333333334"/>
  </r>
  <r>
    <s v="2024-09-19"/>
    <x v="8"/>
    <x v="3"/>
    <x v="2"/>
    <n v="39"/>
    <n v="13377"/>
    <n v="4661"/>
    <x v="3"/>
    <n v="51"/>
    <n v="0"/>
    <n v="3.7"/>
    <n v="0.34843387904612394"/>
    <n v="343"/>
    <n v="9.75"/>
  </r>
  <r>
    <s v="2024-09-20"/>
    <x v="8"/>
    <x v="4"/>
    <x v="0"/>
    <n v="54"/>
    <n v="14310"/>
    <n v="5642"/>
    <x v="3"/>
    <n v="48"/>
    <n v="0"/>
    <n v="4.0999999999999996"/>
    <n v="0.39426974143955273"/>
    <n v="265"/>
    <n v="13.5"/>
  </r>
  <r>
    <s v="2024-09-20"/>
    <x v="8"/>
    <x v="4"/>
    <x v="1"/>
    <n v="133"/>
    <n v="56924"/>
    <n v="19948"/>
    <x v="7"/>
    <n v="68"/>
    <n v="3"/>
    <n v="4.8"/>
    <n v="0.35043215515424075"/>
    <n v="428"/>
    <n v="16.625"/>
  </r>
  <r>
    <s v="2024-09-20"/>
    <x v="8"/>
    <x v="4"/>
    <x v="2"/>
    <n v="62"/>
    <n v="19406"/>
    <n v="5590"/>
    <x v="3"/>
    <n v="43"/>
    <n v="1"/>
    <n v="4.5"/>
    <n v="0.28805524064722249"/>
    <n v="313"/>
    <n v="15.5"/>
  </r>
  <r>
    <s v="2024-09-21"/>
    <x v="8"/>
    <x v="5"/>
    <x v="0"/>
    <n v="30"/>
    <n v="6180"/>
    <n v="1775"/>
    <x v="5"/>
    <n v="50"/>
    <n v="0"/>
    <n v="3.8"/>
    <n v="0.2872168284789644"/>
    <n v="206"/>
    <n v="6"/>
  </r>
  <r>
    <s v="2024-09-21"/>
    <x v="8"/>
    <x v="5"/>
    <x v="1"/>
    <n v="120"/>
    <n v="43200"/>
    <n v="16709"/>
    <x v="6"/>
    <n v="53"/>
    <n v="1"/>
    <n v="3.6"/>
    <n v="0.38678240740740738"/>
    <n v="360"/>
    <n v="13.333333333333334"/>
  </r>
  <r>
    <s v="2024-09-21"/>
    <x v="8"/>
    <x v="5"/>
    <x v="2"/>
    <n v="89"/>
    <n v="23407"/>
    <n v="7336"/>
    <x v="3"/>
    <n v="59"/>
    <n v="0"/>
    <n v="3.9"/>
    <n v="0.31341051822104499"/>
    <n v="263"/>
    <n v="22.25"/>
  </r>
  <r>
    <s v="2024-09-22"/>
    <x v="8"/>
    <x v="6"/>
    <x v="0"/>
    <n v="65"/>
    <n v="16640"/>
    <n v="4744"/>
    <x v="3"/>
    <n v="53"/>
    <n v="2"/>
    <n v="4.5"/>
    <n v="0.28509615384615383"/>
    <n v="256"/>
    <n v="16.25"/>
  </r>
  <r>
    <s v="2024-09-22"/>
    <x v="8"/>
    <x v="6"/>
    <x v="1"/>
    <n v="150"/>
    <n v="42600"/>
    <n v="16831"/>
    <x v="7"/>
    <n v="53"/>
    <n v="0"/>
    <n v="3.5"/>
    <n v="0.395093896713615"/>
    <n v="284"/>
    <n v="18.75"/>
  </r>
  <r>
    <s v="2024-09-22"/>
    <x v="8"/>
    <x v="6"/>
    <x v="2"/>
    <n v="57"/>
    <n v="19152"/>
    <n v="6413"/>
    <x v="5"/>
    <n v="47"/>
    <n v="3"/>
    <n v="4.4000000000000004"/>
    <n v="0.33484753550543023"/>
    <n v="336"/>
    <n v="11.4"/>
  </r>
  <r>
    <s v="2024-09-23"/>
    <x v="8"/>
    <x v="0"/>
    <x v="0"/>
    <n v="28"/>
    <n v="6944"/>
    <n v="2562"/>
    <x v="0"/>
    <n v="41"/>
    <n v="1"/>
    <n v="4.5"/>
    <n v="0.36895161290322581"/>
    <n v="248"/>
    <n v="9.3333333333333339"/>
  </r>
  <r>
    <s v="2024-09-23"/>
    <x v="8"/>
    <x v="0"/>
    <x v="1"/>
    <n v="81"/>
    <n v="23166"/>
    <n v="7925"/>
    <x v="1"/>
    <n v="63"/>
    <n v="1"/>
    <n v="4.2"/>
    <n v="0.34209617542950876"/>
    <n v="286"/>
    <n v="8.1"/>
  </r>
  <r>
    <s v="2024-09-23"/>
    <x v="8"/>
    <x v="0"/>
    <x v="2"/>
    <n v="24"/>
    <n v="4944"/>
    <n v="1565"/>
    <x v="5"/>
    <n v="49"/>
    <n v="3"/>
    <n v="3.7"/>
    <n v="0.31654530744336568"/>
    <n v="206"/>
    <n v="4.8"/>
  </r>
  <r>
    <s v="2024-09-24"/>
    <x v="8"/>
    <x v="1"/>
    <x v="0"/>
    <n v="25"/>
    <n v="6200"/>
    <n v="2205"/>
    <x v="0"/>
    <n v="39"/>
    <n v="1"/>
    <n v="4.5"/>
    <n v="0.35564516129032259"/>
    <n v="248"/>
    <n v="8.3333333333333339"/>
  </r>
  <r>
    <s v="2024-09-24"/>
    <x v="8"/>
    <x v="1"/>
    <x v="1"/>
    <n v="53"/>
    <n v="16960"/>
    <n v="5722"/>
    <x v="1"/>
    <n v="57"/>
    <n v="4"/>
    <n v="4.7"/>
    <n v="0.33738207547169813"/>
    <n v="320"/>
    <n v="5.3"/>
  </r>
  <r>
    <s v="2024-09-24"/>
    <x v="8"/>
    <x v="1"/>
    <x v="2"/>
    <n v="33"/>
    <n v="6732"/>
    <n v="2251"/>
    <x v="5"/>
    <n v="44"/>
    <n v="1"/>
    <n v="4"/>
    <n v="0.33437314319667261"/>
    <n v="204"/>
    <n v="6.6"/>
  </r>
  <r>
    <s v="2024-09-25"/>
    <x v="8"/>
    <x v="2"/>
    <x v="0"/>
    <n v="46"/>
    <n v="8694"/>
    <n v="3264"/>
    <x v="3"/>
    <n v="52"/>
    <n v="0"/>
    <n v="3.9"/>
    <n v="0.3754313319530711"/>
    <n v="189"/>
    <n v="11.5"/>
  </r>
  <r>
    <s v="2024-09-25"/>
    <x v="8"/>
    <x v="2"/>
    <x v="1"/>
    <n v="54"/>
    <n v="25920"/>
    <n v="9290"/>
    <x v="2"/>
    <n v="68"/>
    <n v="3"/>
    <n v="3.8"/>
    <n v="0.3584104938271605"/>
    <n v="480"/>
    <n v="7.7142857142857144"/>
  </r>
  <r>
    <s v="2024-09-25"/>
    <x v="8"/>
    <x v="2"/>
    <x v="2"/>
    <n v="34"/>
    <n v="11662"/>
    <n v="4268"/>
    <x v="4"/>
    <n v="44"/>
    <n v="1"/>
    <n v="4.5999999999999996"/>
    <n v="0.36597496141313668"/>
    <n v="343"/>
    <n v="5.666666666666667"/>
  </r>
  <r>
    <s v="2024-09-26"/>
    <x v="8"/>
    <x v="3"/>
    <x v="0"/>
    <n v="28"/>
    <n v="7280"/>
    <n v="2080"/>
    <x v="5"/>
    <n v="49"/>
    <n v="1"/>
    <n v="4.4000000000000004"/>
    <n v="0.2857142857142857"/>
    <n v="260"/>
    <n v="5.6"/>
  </r>
  <r>
    <s v="2024-09-26"/>
    <x v="8"/>
    <x v="3"/>
    <x v="1"/>
    <n v="73"/>
    <n v="24674"/>
    <n v="8501"/>
    <x v="7"/>
    <n v="58"/>
    <n v="1"/>
    <n v="4.2"/>
    <n v="0.34453270649266432"/>
    <n v="338"/>
    <n v="9.125"/>
  </r>
  <r>
    <s v="2024-09-26"/>
    <x v="8"/>
    <x v="3"/>
    <x v="2"/>
    <n v="41"/>
    <n v="13325"/>
    <n v="5299"/>
    <x v="4"/>
    <n v="43"/>
    <n v="0"/>
    <n v="3.9"/>
    <n v="0.39767354596622889"/>
    <n v="325"/>
    <n v="6.833333333333333"/>
  </r>
  <r>
    <s v="2024-09-27"/>
    <x v="8"/>
    <x v="4"/>
    <x v="0"/>
    <n v="31"/>
    <n v="7843"/>
    <n v="2360"/>
    <x v="3"/>
    <n v="38"/>
    <n v="0"/>
    <n v="4.0999999999999996"/>
    <n v="0.30090526584215221"/>
    <n v="253"/>
    <n v="7.75"/>
  </r>
  <r>
    <s v="2024-09-27"/>
    <x v="8"/>
    <x v="4"/>
    <x v="1"/>
    <n v="154"/>
    <n v="51590"/>
    <n v="17104"/>
    <x v="6"/>
    <n v="70"/>
    <n v="2"/>
    <n v="3.7"/>
    <n v="0.33153711959682108"/>
    <n v="335"/>
    <n v="17.111111111111111"/>
  </r>
  <r>
    <s v="2024-09-27"/>
    <x v="8"/>
    <x v="4"/>
    <x v="2"/>
    <n v="74"/>
    <n v="15688"/>
    <n v="6319"/>
    <x v="3"/>
    <n v="57"/>
    <n v="2"/>
    <n v="3.8"/>
    <n v="0.40279194288628251"/>
    <n v="212"/>
    <n v="18.5"/>
  </r>
  <r>
    <s v="2024-09-28"/>
    <x v="8"/>
    <x v="5"/>
    <x v="0"/>
    <n v="82"/>
    <n v="22960"/>
    <n v="6840"/>
    <x v="3"/>
    <n v="53"/>
    <n v="1"/>
    <n v="4.3"/>
    <n v="0.29790940766550522"/>
    <n v="280"/>
    <n v="20.5"/>
  </r>
  <r>
    <s v="2024-09-28"/>
    <x v="8"/>
    <x v="5"/>
    <x v="1"/>
    <n v="182"/>
    <n v="61334"/>
    <n v="21498"/>
    <x v="2"/>
    <n v="60"/>
    <n v="2"/>
    <n v="4.3"/>
    <n v="0.35050705970587276"/>
    <n v="337"/>
    <n v="26"/>
  </r>
  <r>
    <s v="2024-09-28"/>
    <x v="8"/>
    <x v="5"/>
    <x v="2"/>
    <n v="49"/>
    <n v="11956"/>
    <n v="4538"/>
    <x v="3"/>
    <n v="62"/>
    <n v="0"/>
    <n v="4"/>
    <n v="0.37955838072934089"/>
    <n v="244"/>
    <n v="12.25"/>
  </r>
  <r>
    <s v="2024-09-29"/>
    <x v="8"/>
    <x v="6"/>
    <x v="0"/>
    <n v="45"/>
    <n v="11160"/>
    <n v="3410"/>
    <x v="3"/>
    <n v="46"/>
    <n v="2"/>
    <n v="4.0999999999999996"/>
    <n v="0.30555555555555558"/>
    <n v="248"/>
    <n v="11.25"/>
  </r>
  <r>
    <s v="2024-09-29"/>
    <x v="8"/>
    <x v="6"/>
    <x v="1"/>
    <n v="185"/>
    <n v="57535"/>
    <n v="23302"/>
    <x v="4"/>
    <n v="62"/>
    <n v="0"/>
    <n v="3.5"/>
    <n v="0.40500564873555228"/>
    <n v="311"/>
    <n v="30.833333333333332"/>
  </r>
  <r>
    <s v="2024-09-29"/>
    <x v="8"/>
    <x v="6"/>
    <x v="2"/>
    <n v="42"/>
    <n v="13692"/>
    <n v="4511"/>
    <x v="3"/>
    <n v="45"/>
    <n v="2"/>
    <n v="4.0999999999999996"/>
    <n v="0.329462459830558"/>
    <n v="326"/>
    <n v="10.5"/>
  </r>
  <r>
    <s v="2024-09-30"/>
    <x v="8"/>
    <x v="0"/>
    <x v="0"/>
    <n v="29"/>
    <n v="5568"/>
    <n v="1791"/>
    <x v="3"/>
    <n v="41"/>
    <n v="1"/>
    <n v="4.3"/>
    <n v="0.32165948275862066"/>
    <n v="192"/>
    <n v="7.25"/>
  </r>
  <r>
    <s v="2024-09-30"/>
    <x v="8"/>
    <x v="0"/>
    <x v="1"/>
    <n v="92"/>
    <n v="32568"/>
    <n v="9621"/>
    <x v="7"/>
    <n v="46"/>
    <n v="2"/>
    <n v="4.2"/>
    <n v="0.295412675018423"/>
    <n v="354"/>
    <n v="11.5"/>
  </r>
  <r>
    <s v="2024-09-30"/>
    <x v="8"/>
    <x v="0"/>
    <x v="2"/>
    <n v="49"/>
    <n v="13867"/>
    <n v="4044"/>
    <x v="5"/>
    <n v="60"/>
    <n v="2"/>
    <n v="3.8"/>
    <n v="0.2916276051056465"/>
    <n v="283"/>
    <n v="9.8000000000000007"/>
  </r>
  <r>
    <s v="2024-10-01"/>
    <x v="9"/>
    <x v="1"/>
    <x v="0"/>
    <n v="38"/>
    <n v="9918"/>
    <n v="4016"/>
    <x v="0"/>
    <n v="45"/>
    <n v="2"/>
    <n v="3.9"/>
    <n v="0.40492034684412181"/>
    <n v="261"/>
    <n v="12.666666666666666"/>
  </r>
  <r>
    <s v="2024-10-01"/>
    <x v="9"/>
    <x v="1"/>
    <x v="1"/>
    <n v="84"/>
    <n v="30744"/>
    <n v="8827"/>
    <x v="7"/>
    <n v="63"/>
    <n v="1"/>
    <n v="4"/>
    <n v="0.28711293260473586"/>
    <n v="366"/>
    <n v="10.5"/>
  </r>
  <r>
    <s v="2024-10-01"/>
    <x v="9"/>
    <x v="1"/>
    <x v="2"/>
    <n v="27"/>
    <n v="6885"/>
    <n v="2242"/>
    <x v="5"/>
    <n v="57"/>
    <n v="0"/>
    <n v="4.5"/>
    <n v="0.32563543936092954"/>
    <n v="255"/>
    <n v="5.4"/>
  </r>
  <r>
    <s v="2024-10-02"/>
    <x v="9"/>
    <x v="2"/>
    <x v="0"/>
    <n v="18"/>
    <n v="3564"/>
    <n v="1293"/>
    <x v="0"/>
    <n v="47"/>
    <n v="0"/>
    <n v="4.3"/>
    <n v="0.36279461279461278"/>
    <n v="198"/>
    <n v="6"/>
  </r>
  <r>
    <s v="2024-10-02"/>
    <x v="9"/>
    <x v="2"/>
    <x v="1"/>
    <n v="88"/>
    <n v="24992"/>
    <n v="8245"/>
    <x v="6"/>
    <n v="75"/>
    <n v="2"/>
    <n v="3.5"/>
    <n v="0.32990556978233032"/>
    <n v="284"/>
    <n v="9.7777777777777786"/>
  </r>
  <r>
    <s v="2024-10-02"/>
    <x v="9"/>
    <x v="2"/>
    <x v="2"/>
    <n v="37"/>
    <n v="11174"/>
    <n v="3933"/>
    <x v="3"/>
    <n v="54"/>
    <n v="1"/>
    <n v="4.2"/>
    <n v="0.35197780562018971"/>
    <n v="302"/>
    <n v="9.25"/>
  </r>
  <r>
    <s v="2024-10-03"/>
    <x v="9"/>
    <x v="3"/>
    <x v="0"/>
    <n v="44"/>
    <n v="8272"/>
    <n v="2631"/>
    <x v="3"/>
    <n v="43"/>
    <n v="1"/>
    <n v="4.3"/>
    <n v="0.31806092843326889"/>
    <n v="188"/>
    <n v="11"/>
  </r>
  <r>
    <s v="2024-10-03"/>
    <x v="9"/>
    <x v="3"/>
    <x v="1"/>
    <n v="105"/>
    <n v="35595"/>
    <n v="12034"/>
    <x v="6"/>
    <n v="58"/>
    <n v="3"/>
    <n v="4.5999999999999996"/>
    <n v="0.3380811911785363"/>
    <n v="339"/>
    <n v="11.666666666666666"/>
  </r>
  <r>
    <s v="2024-10-03"/>
    <x v="9"/>
    <x v="3"/>
    <x v="2"/>
    <n v="61"/>
    <n v="15616"/>
    <n v="4984"/>
    <x v="2"/>
    <n v="57"/>
    <n v="2"/>
    <n v="4.0999999999999996"/>
    <n v="0.31915983606557374"/>
    <n v="256"/>
    <n v="8.7142857142857135"/>
  </r>
  <r>
    <s v="2024-10-04"/>
    <x v="9"/>
    <x v="4"/>
    <x v="0"/>
    <n v="58"/>
    <n v="11542"/>
    <n v="4414"/>
    <x v="3"/>
    <n v="41"/>
    <n v="0"/>
    <n v="4.0999999999999996"/>
    <n v="0.38242938832091494"/>
    <n v="199"/>
    <n v="14.5"/>
  </r>
  <r>
    <s v="2024-10-04"/>
    <x v="9"/>
    <x v="4"/>
    <x v="1"/>
    <n v="169"/>
    <n v="74022"/>
    <n v="23381"/>
    <x v="6"/>
    <n v="66"/>
    <n v="3"/>
    <n v="4.0999999999999996"/>
    <n v="0.31586555348409934"/>
    <n v="438"/>
    <n v="18.777777777777779"/>
  </r>
  <r>
    <s v="2024-10-04"/>
    <x v="9"/>
    <x v="4"/>
    <x v="2"/>
    <n v="44"/>
    <n v="11220"/>
    <n v="4106"/>
    <x v="4"/>
    <n v="60"/>
    <n v="1"/>
    <n v="4"/>
    <n v="0.36595365418894832"/>
    <n v="255"/>
    <n v="7.333333333333333"/>
  </r>
  <r>
    <s v="2024-10-05"/>
    <x v="9"/>
    <x v="5"/>
    <x v="0"/>
    <n v="44"/>
    <n v="9856"/>
    <n v="3145"/>
    <x v="5"/>
    <n v="55"/>
    <n v="0"/>
    <n v="4"/>
    <n v="0.31909496753246752"/>
    <n v="224"/>
    <n v="8.8000000000000007"/>
  </r>
  <r>
    <s v="2024-10-05"/>
    <x v="9"/>
    <x v="5"/>
    <x v="1"/>
    <n v="98"/>
    <n v="31164"/>
    <n v="8729"/>
    <x v="4"/>
    <n v="61"/>
    <n v="4"/>
    <n v="4.2"/>
    <n v="0.28009883198562446"/>
    <n v="318"/>
    <n v="16.333333333333332"/>
  </r>
  <r>
    <s v="2024-10-05"/>
    <x v="9"/>
    <x v="5"/>
    <x v="2"/>
    <n v="109"/>
    <n v="23762"/>
    <n v="7064"/>
    <x v="5"/>
    <n v="53"/>
    <n v="1"/>
    <n v="3.9"/>
    <n v="0.297281373621749"/>
    <n v="218"/>
    <n v="21.8"/>
  </r>
  <r>
    <s v="2024-10-06"/>
    <x v="9"/>
    <x v="6"/>
    <x v="0"/>
    <n v="54"/>
    <n v="12852"/>
    <n v="4165"/>
    <x v="5"/>
    <n v="43"/>
    <n v="0"/>
    <n v="3.9"/>
    <n v="0.32407407407407407"/>
    <n v="238"/>
    <n v="10.8"/>
  </r>
  <r>
    <s v="2024-10-06"/>
    <x v="9"/>
    <x v="6"/>
    <x v="1"/>
    <n v="132"/>
    <n v="61512"/>
    <n v="20565"/>
    <x v="4"/>
    <n v="73"/>
    <n v="2"/>
    <n v="4.5999999999999996"/>
    <n v="0.33432500975419432"/>
    <n v="466"/>
    <n v="22"/>
  </r>
  <r>
    <s v="2024-10-06"/>
    <x v="9"/>
    <x v="6"/>
    <x v="2"/>
    <n v="63"/>
    <n v="17955"/>
    <n v="5161"/>
    <x v="5"/>
    <n v="51"/>
    <n v="3"/>
    <n v="4.5999999999999996"/>
    <n v="0.28744082428292955"/>
    <n v="285"/>
    <n v="12.6"/>
  </r>
  <r>
    <s v="2024-10-07"/>
    <x v="9"/>
    <x v="0"/>
    <x v="0"/>
    <n v="36"/>
    <n v="10008"/>
    <n v="3460"/>
    <x v="5"/>
    <n v="35"/>
    <n v="0"/>
    <n v="4.3"/>
    <n v="0.34572342126298961"/>
    <n v="278"/>
    <n v="7.2"/>
  </r>
  <r>
    <s v="2024-10-07"/>
    <x v="9"/>
    <x v="0"/>
    <x v="1"/>
    <n v="88"/>
    <n v="32296"/>
    <n v="9567"/>
    <x v="6"/>
    <n v="62"/>
    <n v="4"/>
    <n v="4.7"/>
    <n v="0.2962286351250929"/>
    <n v="367"/>
    <n v="9.7777777777777786"/>
  </r>
  <r>
    <s v="2024-10-07"/>
    <x v="9"/>
    <x v="0"/>
    <x v="2"/>
    <n v="34"/>
    <n v="10982"/>
    <n v="4181"/>
    <x v="2"/>
    <n v="65"/>
    <n v="2"/>
    <n v="4.0999999999999996"/>
    <n v="0.38071389546530687"/>
    <n v="323"/>
    <n v="4.8571428571428568"/>
  </r>
  <r>
    <s v="2024-10-08"/>
    <x v="9"/>
    <x v="1"/>
    <x v="0"/>
    <n v="20"/>
    <n v="3660"/>
    <n v="1113"/>
    <x v="5"/>
    <n v="41"/>
    <n v="0"/>
    <n v="3.9"/>
    <n v="0.3040983606557377"/>
    <n v="183"/>
    <n v="4"/>
  </r>
  <r>
    <s v="2024-10-08"/>
    <x v="9"/>
    <x v="1"/>
    <x v="1"/>
    <n v="80"/>
    <n v="31120"/>
    <n v="12224"/>
    <x v="7"/>
    <n v="55"/>
    <n v="4"/>
    <n v="4.5"/>
    <n v="0.3928020565552699"/>
    <n v="389"/>
    <n v="10"/>
  </r>
  <r>
    <s v="2024-10-08"/>
    <x v="9"/>
    <x v="1"/>
    <x v="2"/>
    <n v="26"/>
    <n v="5408"/>
    <n v="1948"/>
    <x v="5"/>
    <n v="61"/>
    <n v="0"/>
    <n v="4.3"/>
    <n v="0.36020710059171596"/>
    <n v="208"/>
    <n v="5.2"/>
  </r>
  <r>
    <s v="2024-10-09"/>
    <x v="9"/>
    <x v="2"/>
    <x v="0"/>
    <n v="27"/>
    <n v="6426"/>
    <n v="2044"/>
    <x v="5"/>
    <n v="53"/>
    <n v="0"/>
    <n v="3.9"/>
    <n v="0.31808278867102396"/>
    <n v="238"/>
    <n v="5.4"/>
  </r>
  <r>
    <s v="2024-10-09"/>
    <x v="9"/>
    <x v="2"/>
    <x v="1"/>
    <n v="107"/>
    <n v="36594"/>
    <n v="13688"/>
    <x v="2"/>
    <n v="65"/>
    <n v="3"/>
    <n v="4.0999999999999996"/>
    <n v="0.37405039077444391"/>
    <n v="342"/>
    <n v="15.285714285714286"/>
  </r>
  <r>
    <s v="2024-10-09"/>
    <x v="9"/>
    <x v="2"/>
    <x v="2"/>
    <n v="37"/>
    <n v="8806"/>
    <n v="2719"/>
    <x v="5"/>
    <n v="40"/>
    <n v="2"/>
    <n v="3.8"/>
    <n v="0.30876674994322051"/>
    <n v="238"/>
    <n v="7.4"/>
  </r>
  <r>
    <s v="2024-10-10"/>
    <x v="9"/>
    <x v="3"/>
    <x v="0"/>
    <n v="32"/>
    <n v="8928"/>
    <n v="3345"/>
    <x v="5"/>
    <n v="42"/>
    <n v="0"/>
    <n v="3.9"/>
    <n v="0.37466397849462363"/>
    <n v="279"/>
    <n v="6.4"/>
  </r>
  <r>
    <s v="2024-10-10"/>
    <x v="9"/>
    <x v="3"/>
    <x v="1"/>
    <n v="106"/>
    <n v="32754"/>
    <n v="10130"/>
    <x v="6"/>
    <n v="66"/>
    <n v="1"/>
    <n v="4.8"/>
    <n v="0.3092752030286377"/>
    <n v="309"/>
    <n v="11.777777777777779"/>
  </r>
  <r>
    <s v="2024-10-10"/>
    <x v="9"/>
    <x v="3"/>
    <x v="2"/>
    <n v="53"/>
    <n v="18338"/>
    <n v="5922"/>
    <x v="5"/>
    <n v="40"/>
    <n v="2"/>
    <n v="4.0999999999999996"/>
    <n v="0.32293597993238082"/>
    <n v="346"/>
    <n v="10.6"/>
  </r>
  <r>
    <s v="2024-10-11"/>
    <x v="9"/>
    <x v="4"/>
    <x v="0"/>
    <n v="26"/>
    <n v="6292"/>
    <n v="2242"/>
    <x v="5"/>
    <n v="54"/>
    <n v="2"/>
    <n v="4.0999999999999996"/>
    <n v="0.35632549268912905"/>
    <n v="242"/>
    <n v="5.2"/>
  </r>
  <r>
    <s v="2024-10-11"/>
    <x v="9"/>
    <x v="4"/>
    <x v="1"/>
    <n v="97"/>
    <n v="45881"/>
    <n v="14843"/>
    <x v="1"/>
    <n v="75"/>
    <n v="3"/>
    <n v="4.8"/>
    <n v="0.32351082147294086"/>
    <n v="473"/>
    <n v="9.6999999999999993"/>
  </r>
  <r>
    <s v="2024-10-11"/>
    <x v="9"/>
    <x v="4"/>
    <x v="2"/>
    <n v="46"/>
    <n v="13386"/>
    <n v="5467"/>
    <x v="2"/>
    <n v="52"/>
    <n v="2"/>
    <n v="3.6"/>
    <n v="0.40841177349469593"/>
    <n v="291"/>
    <n v="6.5714285714285712"/>
  </r>
  <r>
    <s v="2024-10-12"/>
    <x v="9"/>
    <x v="5"/>
    <x v="0"/>
    <n v="78"/>
    <n v="17238"/>
    <n v="5865"/>
    <x v="5"/>
    <n v="53"/>
    <n v="1"/>
    <n v="4.4000000000000004"/>
    <n v="0.34023668639053256"/>
    <n v="221"/>
    <n v="15.6"/>
  </r>
  <r>
    <s v="2024-10-12"/>
    <x v="9"/>
    <x v="5"/>
    <x v="1"/>
    <n v="163"/>
    <n v="75143"/>
    <n v="30054"/>
    <x v="7"/>
    <n v="59"/>
    <n v="3"/>
    <n v="3.9"/>
    <n v="0.39995741452963018"/>
    <n v="461"/>
    <n v="20.375"/>
  </r>
  <r>
    <s v="2024-10-12"/>
    <x v="9"/>
    <x v="5"/>
    <x v="2"/>
    <n v="84"/>
    <n v="27468"/>
    <n v="11441"/>
    <x v="2"/>
    <n v="45"/>
    <n v="2"/>
    <n v="4.2"/>
    <n v="0.41652104266783163"/>
    <n v="327"/>
    <n v="12"/>
  </r>
  <r>
    <s v="2024-10-13"/>
    <x v="9"/>
    <x v="6"/>
    <x v="0"/>
    <n v="37"/>
    <n v="9805"/>
    <n v="2865"/>
    <x v="5"/>
    <n v="40"/>
    <n v="0"/>
    <n v="4.2"/>
    <n v="0.29219785823559408"/>
    <n v="265"/>
    <n v="7.4"/>
  </r>
  <r>
    <s v="2024-10-13"/>
    <x v="9"/>
    <x v="6"/>
    <x v="1"/>
    <n v="110"/>
    <n v="37510"/>
    <n v="11214"/>
    <x v="4"/>
    <n v="61"/>
    <n v="2"/>
    <n v="4"/>
    <n v="0.2989602772593975"/>
    <n v="341"/>
    <n v="18.333333333333332"/>
  </r>
  <r>
    <s v="2024-10-13"/>
    <x v="9"/>
    <x v="6"/>
    <x v="2"/>
    <n v="39"/>
    <n v="9204"/>
    <n v="3592"/>
    <x v="2"/>
    <n v="51"/>
    <n v="2"/>
    <n v="4"/>
    <n v="0.39026510212950893"/>
    <n v="236"/>
    <n v="5.5714285714285712"/>
  </r>
  <r>
    <s v="2024-10-14"/>
    <x v="9"/>
    <x v="0"/>
    <x v="0"/>
    <n v="32"/>
    <n v="6016"/>
    <n v="1903"/>
    <x v="3"/>
    <n v="39"/>
    <n v="1"/>
    <n v="4.0999999999999996"/>
    <n v="0.31632313829787234"/>
    <n v="188"/>
    <n v="8"/>
  </r>
  <r>
    <s v="2024-10-14"/>
    <x v="9"/>
    <x v="0"/>
    <x v="1"/>
    <n v="76"/>
    <n v="25764"/>
    <n v="8337"/>
    <x v="4"/>
    <n v="75"/>
    <n v="3"/>
    <n v="3.7"/>
    <n v="0.32359105728924081"/>
    <n v="339"/>
    <n v="12.666666666666666"/>
  </r>
  <r>
    <s v="2024-10-14"/>
    <x v="9"/>
    <x v="0"/>
    <x v="2"/>
    <n v="45"/>
    <n v="12870"/>
    <n v="3802"/>
    <x v="5"/>
    <n v="43"/>
    <n v="1"/>
    <n v="3.7"/>
    <n v="0.2954156954156954"/>
    <n v="286"/>
    <n v="9"/>
  </r>
  <r>
    <s v="2024-10-15"/>
    <x v="9"/>
    <x v="1"/>
    <x v="0"/>
    <n v="25"/>
    <n v="5150"/>
    <n v="1905"/>
    <x v="3"/>
    <n v="52"/>
    <n v="0"/>
    <n v="4.4000000000000004"/>
    <n v="0.36990291262135921"/>
    <n v="206"/>
    <n v="6.25"/>
  </r>
  <r>
    <s v="2024-10-15"/>
    <x v="9"/>
    <x v="1"/>
    <x v="1"/>
    <n v="91"/>
    <n v="30849"/>
    <n v="11839"/>
    <x v="1"/>
    <n v="70"/>
    <n v="1"/>
    <n v="3.6"/>
    <n v="0.3837725696132776"/>
    <n v="339"/>
    <n v="9.1"/>
  </r>
  <r>
    <s v="2024-10-15"/>
    <x v="9"/>
    <x v="1"/>
    <x v="2"/>
    <n v="42"/>
    <n v="14112"/>
    <n v="4052"/>
    <x v="2"/>
    <n v="46"/>
    <n v="0"/>
    <n v="3.6"/>
    <n v="0.28713151927437641"/>
    <n v="336"/>
    <n v="6"/>
  </r>
  <r>
    <s v="2024-10-16"/>
    <x v="9"/>
    <x v="2"/>
    <x v="0"/>
    <n v="35"/>
    <n v="7910"/>
    <n v="2386"/>
    <x v="3"/>
    <n v="50"/>
    <n v="1"/>
    <n v="4.0999999999999996"/>
    <n v="0.30164348925410872"/>
    <n v="226"/>
    <n v="8.75"/>
  </r>
  <r>
    <s v="2024-10-16"/>
    <x v="9"/>
    <x v="2"/>
    <x v="1"/>
    <n v="102"/>
    <n v="36618"/>
    <n v="15182"/>
    <x v="2"/>
    <n v="59"/>
    <n v="0"/>
    <n v="3.8"/>
    <n v="0.41460483915014473"/>
    <n v="359"/>
    <n v="14.571428571428571"/>
  </r>
  <r>
    <s v="2024-10-16"/>
    <x v="9"/>
    <x v="2"/>
    <x v="2"/>
    <n v="36"/>
    <n v="11376"/>
    <n v="3776"/>
    <x v="3"/>
    <n v="65"/>
    <n v="3"/>
    <n v="4.5"/>
    <n v="0.33192686357243317"/>
    <n v="316"/>
    <n v="9"/>
  </r>
  <r>
    <s v="2024-10-17"/>
    <x v="9"/>
    <x v="3"/>
    <x v="0"/>
    <n v="42"/>
    <n v="10584"/>
    <n v="3626"/>
    <x v="0"/>
    <n v="43"/>
    <n v="0"/>
    <n v="4.4000000000000004"/>
    <n v="0.34259259259259262"/>
    <n v="252"/>
    <n v="14"/>
  </r>
  <r>
    <s v="2024-10-17"/>
    <x v="9"/>
    <x v="3"/>
    <x v="1"/>
    <n v="125"/>
    <n v="46125"/>
    <n v="17266"/>
    <x v="4"/>
    <n v="50"/>
    <n v="4"/>
    <n v="4.2"/>
    <n v="0.37433062330623307"/>
    <n v="369"/>
    <n v="20.833333333333332"/>
  </r>
  <r>
    <s v="2024-10-17"/>
    <x v="9"/>
    <x v="3"/>
    <x v="2"/>
    <n v="59"/>
    <n v="18703"/>
    <n v="6390"/>
    <x v="3"/>
    <n v="41"/>
    <n v="3"/>
    <n v="4.4000000000000004"/>
    <n v="0.34165641875634922"/>
    <n v="317"/>
    <n v="14.75"/>
  </r>
  <r>
    <s v="2024-10-18"/>
    <x v="9"/>
    <x v="4"/>
    <x v="0"/>
    <n v="26"/>
    <n v="6266"/>
    <n v="2545"/>
    <x v="0"/>
    <n v="44"/>
    <n v="1"/>
    <n v="3.9"/>
    <n v="0.40616022981168209"/>
    <n v="241"/>
    <n v="8.6666666666666661"/>
  </r>
  <r>
    <s v="2024-10-18"/>
    <x v="9"/>
    <x v="4"/>
    <x v="1"/>
    <n v="146"/>
    <n v="54604"/>
    <n v="19609"/>
    <x v="2"/>
    <n v="74"/>
    <n v="2"/>
    <n v="4.0999999999999996"/>
    <n v="0.35911288550289355"/>
    <n v="374"/>
    <n v="20.857142857142858"/>
  </r>
  <r>
    <s v="2024-10-18"/>
    <x v="9"/>
    <x v="4"/>
    <x v="2"/>
    <n v="37"/>
    <n v="7770"/>
    <n v="3016"/>
    <x v="2"/>
    <n v="56"/>
    <n v="2"/>
    <n v="4.2"/>
    <n v="0.38815958815958818"/>
    <n v="210"/>
    <n v="5.2857142857142856"/>
  </r>
  <r>
    <s v="2024-10-19"/>
    <x v="9"/>
    <x v="5"/>
    <x v="0"/>
    <n v="64"/>
    <n v="13056"/>
    <n v="3827"/>
    <x v="3"/>
    <n v="55"/>
    <n v="0"/>
    <n v="4.3"/>
    <n v="0.29312193627450983"/>
    <n v="204"/>
    <n v="16"/>
  </r>
  <r>
    <s v="2024-10-19"/>
    <x v="9"/>
    <x v="5"/>
    <x v="1"/>
    <n v="198"/>
    <n v="93060"/>
    <n v="36445"/>
    <x v="6"/>
    <n v="72"/>
    <n v="3"/>
    <n v="4.7"/>
    <n v="0.39162905652267355"/>
    <n v="470"/>
    <n v="22"/>
  </r>
  <r>
    <s v="2024-10-19"/>
    <x v="9"/>
    <x v="5"/>
    <x v="2"/>
    <n v="57"/>
    <n v="13167"/>
    <n v="5275"/>
    <x v="4"/>
    <n v="53"/>
    <n v="2"/>
    <n v="3.6"/>
    <n v="0.40062276904382166"/>
    <n v="231"/>
    <n v="9.5"/>
  </r>
  <r>
    <s v="2024-10-20"/>
    <x v="9"/>
    <x v="6"/>
    <x v="0"/>
    <n v="68"/>
    <n v="17952"/>
    <n v="6084"/>
    <x v="0"/>
    <n v="40"/>
    <n v="0"/>
    <n v="4.0999999999999996"/>
    <n v="0.33890374331550804"/>
    <n v="264"/>
    <n v="22.666666666666668"/>
  </r>
  <r>
    <s v="2024-10-20"/>
    <x v="9"/>
    <x v="6"/>
    <x v="1"/>
    <n v="163"/>
    <n v="49715"/>
    <n v="19286"/>
    <x v="4"/>
    <n v="67"/>
    <n v="4"/>
    <n v="3.8"/>
    <n v="0.38793120788494417"/>
    <n v="305"/>
    <n v="27.166666666666668"/>
  </r>
  <r>
    <s v="2024-10-20"/>
    <x v="9"/>
    <x v="6"/>
    <x v="2"/>
    <n v="104"/>
    <n v="26624"/>
    <n v="7527"/>
    <x v="3"/>
    <n v="60"/>
    <n v="2"/>
    <n v="3.7"/>
    <n v="0.28271484375"/>
    <n v="256"/>
    <n v="26"/>
  </r>
  <r>
    <s v="2024-10-21"/>
    <x v="9"/>
    <x v="0"/>
    <x v="0"/>
    <n v="21"/>
    <n v="3927"/>
    <n v="1295"/>
    <x v="3"/>
    <n v="54"/>
    <n v="1"/>
    <n v="4"/>
    <n v="0.32976827094474154"/>
    <n v="187"/>
    <n v="5.25"/>
  </r>
  <r>
    <s v="2024-10-21"/>
    <x v="9"/>
    <x v="0"/>
    <x v="1"/>
    <n v="102"/>
    <n v="38046"/>
    <n v="15878"/>
    <x v="1"/>
    <n v="57"/>
    <n v="3"/>
    <n v="4.5"/>
    <n v="0.41733690795352996"/>
    <n v="373"/>
    <n v="10.199999999999999"/>
  </r>
  <r>
    <s v="2024-10-21"/>
    <x v="9"/>
    <x v="0"/>
    <x v="2"/>
    <n v="25"/>
    <n v="5225"/>
    <n v="2145"/>
    <x v="2"/>
    <n v="43"/>
    <n v="2"/>
    <n v="4.0999999999999996"/>
    <n v="0.41052631578947368"/>
    <n v="209"/>
    <n v="3.5714285714285716"/>
  </r>
  <r>
    <s v="2024-10-22"/>
    <x v="9"/>
    <x v="1"/>
    <x v="0"/>
    <n v="23"/>
    <n v="4370"/>
    <n v="1552"/>
    <x v="5"/>
    <n v="38"/>
    <n v="2"/>
    <n v="4.2"/>
    <n v="0.35514874141876429"/>
    <n v="190"/>
    <n v="4.5999999999999996"/>
  </r>
  <r>
    <s v="2024-10-22"/>
    <x v="9"/>
    <x v="1"/>
    <x v="1"/>
    <n v="81"/>
    <n v="37989"/>
    <n v="14386"/>
    <x v="7"/>
    <n v="59"/>
    <n v="2"/>
    <n v="4.5"/>
    <n v="0.37868856774329412"/>
    <n v="469"/>
    <n v="10.125"/>
  </r>
  <r>
    <s v="2024-10-22"/>
    <x v="9"/>
    <x v="1"/>
    <x v="2"/>
    <n v="36"/>
    <n v="10332"/>
    <n v="3712"/>
    <x v="4"/>
    <n v="55"/>
    <n v="3"/>
    <n v="3.9"/>
    <n v="0.35927216415021296"/>
    <n v="287"/>
    <n v="6"/>
  </r>
  <r>
    <s v="2024-10-23"/>
    <x v="9"/>
    <x v="2"/>
    <x v="0"/>
    <n v="39"/>
    <n v="10764"/>
    <n v="3488"/>
    <x v="3"/>
    <n v="38"/>
    <n v="0"/>
    <n v="4.4000000000000004"/>
    <n v="0.3240431066518023"/>
    <n v="276"/>
    <n v="9.75"/>
  </r>
  <r>
    <s v="2024-10-23"/>
    <x v="9"/>
    <x v="2"/>
    <x v="1"/>
    <n v="50"/>
    <n v="14450"/>
    <n v="4285"/>
    <x v="7"/>
    <n v="70"/>
    <n v="1"/>
    <n v="3.9"/>
    <n v="0.29653979238754324"/>
    <n v="289"/>
    <n v="6.25"/>
  </r>
  <r>
    <s v="2024-10-23"/>
    <x v="9"/>
    <x v="2"/>
    <x v="2"/>
    <n v="26"/>
    <n v="6890"/>
    <n v="2760"/>
    <x v="3"/>
    <n v="59"/>
    <n v="0"/>
    <n v="4"/>
    <n v="0.40058055152394773"/>
    <n v="265"/>
    <n v="6.5"/>
  </r>
  <r>
    <s v="2024-10-24"/>
    <x v="9"/>
    <x v="3"/>
    <x v="0"/>
    <n v="26"/>
    <n v="5174"/>
    <n v="1509"/>
    <x v="0"/>
    <n v="37"/>
    <n v="0"/>
    <n v="4.2"/>
    <n v="0.29165056049478161"/>
    <n v="199"/>
    <n v="8.6666666666666661"/>
  </r>
  <r>
    <s v="2024-10-24"/>
    <x v="9"/>
    <x v="3"/>
    <x v="1"/>
    <n v="96"/>
    <n v="39264"/>
    <n v="15656"/>
    <x v="6"/>
    <n v="49"/>
    <n v="1"/>
    <n v="4.0999999999999996"/>
    <n v="0.39873675631621841"/>
    <n v="409"/>
    <n v="10.666666666666666"/>
  </r>
  <r>
    <s v="2024-10-24"/>
    <x v="9"/>
    <x v="3"/>
    <x v="2"/>
    <n v="44"/>
    <n v="10560"/>
    <n v="3643"/>
    <x v="2"/>
    <n v="50"/>
    <n v="2"/>
    <n v="4.2"/>
    <n v="0.3449810606060606"/>
    <n v="240"/>
    <n v="6.2857142857142856"/>
  </r>
  <r>
    <s v="2024-10-25"/>
    <x v="9"/>
    <x v="4"/>
    <x v="0"/>
    <n v="26"/>
    <n v="7046"/>
    <n v="2701"/>
    <x v="3"/>
    <n v="41"/>
    <n v="2"/>
    <n v="4.3"/>
    <n v="0.38333806414987226"/>
    <n v="271"/>
    <n v="6.5"/>
  </r>
  <r>
    <s v="2024-10-25"/>
    <x v="9"/>
    <x v="4"/>
    <x v="1"/>
    <n v="176"/>
    <n v="58960"/>
    <n v="19783"/>
    <x v="1"/>
    <n v="58"/>
    <n v="2"/>
    <n v="3.8"/>
    <n v="0.33553256445047491"/>
    <n v="335"/>
    <n v="17.600000000000001"/>
  </r>
  <r>
    <s v="2024-10-25"/>
    <x v="9"/>
    <x v="4"/>
    <x v="2"/>
    <n v="69"/>
    <n v="23667"/>
    <n v="7011"/>
    <x v="4"/>
    <n v="61"/>
    <n v="2"/>
    <n v="4.4000000000000004"/>
    <n v="0.29623526429205221"/>
    <n v="343"/>
    <n v="11.5"/>
  </r>
  <r>
    <s v="2024-10-26"/>
    <x v="9"/>
    <x v="5"/>
    <x v="0"/>
    <n v="39"/>
    <n v="7488"/>
    <n v="2965"/>
    <x v="3"/>
    <n v="43"/>
    <n v="1"/>
    <n v="4.0999999999999996"/>
    <n v="0.39596688034188032"/>
    <n v="192"/>
    <n v="9.75"/>
  </r>
  <r>
    <s v="2024-10-26"/>
    <x v="9"/>
    <x v="5"/>
    <x v="1"/>
    <n v="99"/>
    <n v="35640"/>
    <n v="10894"/>
    <x v="2"/>
    <n v="60"/>
    <n v="3"/>
    <n v="3.7"/>
    <n v="0.30566778900112235"/>
    <n v="360"/>
    <n v="14.142857142857142"/>
  </r>
  <r>
    <s v="2024-10-26"/>
    <x v="9"/>
    <x v="5"/>
    <x v="2"/>
    <n v="109"/>
    <n v="37605"/>
    <n v="12914"/>
    <x v="2"/>
    <n v="55"/>
    <n v="1"/>
    <n v="3.7"/>
    <n v="0.34341178034835795"/>
    <n v="345"/>
    <n v="15.571428571428571"/>
  </r>
  <r>
    <s v="2024-10-27"/>
    <x v="9"/>
    <x v="6"/>
    <x v="0"/>
    <n v="44"/>
    <n v="11748"/>
    <n v="3870"/>
    <x v="5"/>
    <n v="49"/>
    <n v="1"/>
    <n v="4.0999999999999996"/>
    <n v="0.32941777323799798"/>
    <n v="267"/>
    <n v="8.8000000000000007"/>
  </r>
  <r>
    <s v="2024-10-27"/>
    <x v="9"/>
    <x v="6"/>
    <x v="1"/>
    <n v="118"/>
    <n v="49088"/>
    <n v="15092"/>
    <x v="7"/>
    <n v="70"/>
    <n v="2"/>
    <n v="4.5"/>
    <n v="0.30744784876140807"/>
    <n v="416"/>
    <n v="14.75"/>
  </r>
  <r>
    <s v="2024-10-27"/>
    <x v="9"/>
    <x v="6"/>
    <x v="2"/>
    <n v="88"/>
    <n v="24376"/>
    <n v="10189"/>
    <x v="3"/>
    <n v="43"/>
    <n v="1"/>
    <n v="4.3"/>
    <n v="0.41799310797505745"/>
    <n v="277"/>
    <n v="22"/>
  </r>
  <r>
    <s v="2024-10-28"/>
    <x v="9"/>
    <x v="0"/>
    <x v="0"/>
    <n v="23"/>
    <n v="5957"/>
    <n v="2017"/>
    <x v="5"/>
    <n v="44"/>
    <n v="0"/>
    <n v="3.8"/>
    <n v="0.33859325163672988"/>
    <n v="259"/>
    <n v="4.5999999999999996"/>
  </r>
  <r>
    <s v="2024-10-28"/>
    <x v="9"/>
    <x v="0"/>
    <x v="1"/>
    <n v="100"/>
    <n v="35400"/>
    <n v="13480"/>
    <x v="7"/>
    <n v="62"/>
    <n v="0"/>
    <n v="4.2"/>
    <n v="0.38079096045197741"/>
    <n v="354"/>
    <n v="12.5"/>
  </r>
  <r>
    <s v="2024-10-28"/>
    <x v="9"/>
    <x v="0"/>
    <x v="2"/>
    <n v="44"/>
    <n v="13684"/>
    <n v="5351"/>
    <x v="5"/>
    <n v="46"/>
    <n v="1"/>
    <n v="3.8"/>
    <n v="0.39104063139432915"/>
    <n v="311"/>
    <n v="8.8000000000000007"/>
  </r>
  <r>
    <s v="2024-10-29"/>
    <x v="9"/>
    <x v="1"/>
    <x v="0"/>
    <n v="44"/>
    <n v="8800"/>
    <n v="2690"/>
    <x v="5"/>
    <n v="54"/>
    <n v="2"/>
    <n v="4.0999999999999996"/>
    <n v="0.30568181818181817"/>
    <n v="200"/>
    <n v="8.8000000000000007"/>
  </r>
  <r>
    <s v="2024-10-29"/>
    <x v="9"/>
    <x v="1"/>
    <x v="1"/>
    <n v="66"/>
    <n v="27324"/>
    <n v="9689"/>
    <x v="2"/>
    <n v="61"/>
    <n v="0"/>
    <n v="4.4000000000000004"/>
    <n v="0.35459669155321327"/>
    <n v="414"/>
    <n v="9.4285714285714288"/>
  </r>
  <r>
    <s v="2024-10-29"/>
    <x v="9"/>
    <x v="1"/>
    <x v="2"/>
    <n v="50"/>
    <n v="10300"/>
    <n v="4215"/>
    <x v="5"/>
    <n v="47"/>
    <n v="2"/>
    <n v="4.5999999999999996"/>
    <n v="0.40922330097087378"/>
    <n v="206"/>
    <n v="10"/>
  </r>
  <r>
    <s v="2024-10-30"/>
    <x v="9"/>
    <x v="2"/>
    <x v="0"/>
    <n v="22"/>
    <n v="6028"/>
    <n v="2320"/>
    <x v="3"/>
    <n v="54"/>
    <n v="0"/>
    <n v="4.2"/>
    <n v="0.38487060384870603"/>
    <n v="274"/>
    <n v="5.5"/>
  </r>
  <r>
    <s v="2024-10-30"/>
    <x v="9"/>
    <x v="2"/>
    <x v="1"/>
    <n v="120"/>
    <n v="43080"/>
    <n v="13987"/>
    <x v="7"/>
    <n v="54"/>
    <n v="0"/>
    <n v="4.7"/>
    <n v="0.32467502321262764"/>
    <n v="359"/>
    <n v="15"/>
  </r>
  <r>
    <s v="2024-10-30"/>
    <x v="9"/>
    <x v="2"/>
    <x v="2"/>
    <n v="58"/>
    <n v="18212"/>
    <n v="7161"/>
    <x v="5"/>
    <n v="65"/>
    <n v="0"/>
    <n v="4.5"/>
    <n v="0.39320228420821435"/>
    <n v="314"/>
    <n v="11.6"/>
  </r>
  <r>
    <s v="2024-10-31"/>
    <x v="9"/>
    <x v="3"/>
    <x v="0"/>
    <n v="27"/>
    <n v="5292"/>
    <n v="1921"/>
    <x v="0"/>
    <n v="50"/>
    <n v="0"/>
    <n v="4.2"/>
    <n v="0.3630007558578987"/>
    <n v="196"/>
    <n v="9"/>
  </r>
  <r>
    <s v="2024-10-31"/>
    <x v="9"/>
    <x v="3"/>
    <x v="1"/>
    <n v="73"/>
    <n v="21462"/>
    <n v="8134"/>
    <x v="4"/>
    <n v="54"/>
    <n v="1"/>
    <n v="4.5"/>
    <n v="0.37899543378995432"/>
    <n v="294"/>
    <n v="12.166666666666666"/>
  </r>
  <r>
    <s v="2024-10-31"/>
    <x v="9"/>
    <x v="3"/>
    <x v="2"/>
    <n v="56"/>
    <n v="17808"/>
    <n v="6752"/>
    <x v="5"/>
    <n v="45"/>
    <n v="2"/>
    <n v="4.2"/>
    <n v="0.37915543575920935"/>
    <n v="318"/>
    <n v="11.2"/>
  </r>
  <r>
    <s v="2024-11-01"/>
    <x v="10"/>
    <x v="4"/>
    <x v="0"/>
    <n v="51"/>
    <n v="9894"/>
    <n v="3079"/>
    <x v="0"/>
    <n v="35"/>
    <n v="1"/>
    <n v="4.0999999999999996"/>
    <n v="0.31119870628663837"/>
    <n v="194"/>
    <n v="17"/>
  </r>
  <r>
    <s v="2024-11-01"/>
    <x v="10"/>
    <x v="4"/>
    <x v="1"/>
    <n v="172"/>
    <n v="72756"/>
    <n v="27905"/>
    <x v="7"/>
    <n v="74"/>
    <n v="1"/>
    <n v="4.8"/>
    <n v="0.38354225081092969"/>
    <n v="423"/>
    <n v="21.5"/>
  </r>
  <r>
    <s v="2024-11-01"/>
    <x v="10"/>
    <x v="4"/>
    <x v="2"/>
    <n v="73"/>
    <n v="23944"/>
    <n v="7948"/>
    <x v="2"/>
    <n v="44"/>
    <n v="2"/>
    <n v="4.4000000000000004"/>
    <n v="0.33194119612429002"/>
    <n v="328"/>
    <n v="10.428571428571429"/>
  </r>
  <r>
    <s v="2024-11-02"/>
    <x v="10"/>
    <x v="5"/>
    <x v="0"/>
    <n v="75"/>
    <n v="15525"/>
    <n v="5971"/>
    <x v="5"/>
    <n v="54"/>
    <n v="0"/>
    <n v="3.9"/>
    <n v="0.38460547504025766"/>
    <n v="207"/>
    <n v="15"/>
  </r>
  <r>
    <s v="2024-11-02"/>
    <x v="10"/>
    <x v="5"/>
    <x v="1"/>
    <n v="141"/>
    <n v="48927"/>
    <n v="14658"/>
    <x v="1"/>
    <n v="69"/>
    <n v="1"/>
    <n v="3.7"/>
    <n v="0.29958918388619782"/>
    <n v="347"/>
    <n v="14.1"/>
  </r>
  <r>
    <s v="2024-11-02"/>
    <x v="10"/>
    <x v="5"/>
    <x v="2"/>
    <n v="61"/>
    <n v="13908"/>
    <n v="5268"/>
    <x v="4"/>
    <n v="64"/>
    <n v="2"/>
    <n v="3.6"/>
    <n v="0.37877480586712681"/>
    <n v="228"/>
    <n v="10.166666666666666"/>
  </r>
  <r>
    <s v="2024-11-03"/>
    <x v="10"/>
    <x v="6"/>
    <x v="0"/>
    <n v="62"/>
    <n v="12338"/>
    <n v="4235"/>
    <x v="0"/>
    <n v="42"/>
    <n v="0"/>
    <n v="3.9"/>
    <n v="0.3432485005673529"/>
    <n v="199"/>
    <n v="20.666666666666668"/>
  </r>
  <r>
    <s v="2024-11-03"/>
    <x v="10"/>
    <x v="6"/>
    <x v="1"/>
    <n v="170"/>
    <n v="63240"/>
    <n v="18560"/>
    <x v="2"/>
    <n v="61"/>
    <n v="3"/>
    <n v="3.6"/>
    <n v="0.2934851359898798"/>
    <n v="372"/>
    <n v="24.285714285714285"/>
  </r>
  <r>
    <s v="2024-11-03"/>
    <x v="10"/>
    <x v="6"/>
    <x v="2"/>
    <n v="44"/>
    <n v="9548"/>
    <n v="2749"/>
    <x v="5"/>
    <n v="60"/>
    <n v="3"/>
    <n v="4"/>
    <n v="0.28791369920402177"/>
    <n v="217"/>
    <n v="8.8000000000000007"/>
  </r>
  <r>
    <s v="2024-11-04"/>
    <x v="10"/>
    <x v="0"/>
    <x v="0"/>
    <n v="45"/>
    <n v="10620"/>
    <n v="3564"/>
    <x v="5"/>
    <n v="44"/>
    <n v="0"/>
    <n v="3.9"/>
    <n v="0.33559322033898303"/>
    <n v="236"/>
    <n v="9"/>
  </r>
  <r>
    <s v="2024-11-04"/>
    <x v="10"/>
    <x v="0"/>
    <x v="1"/>
    <n v="59"/>
    <n v="26255"/>
    <n v="7584"/>
    <x v="2"/>
    <n v="56"/>
    <n v="1"/>
    <n v="4.3"/>
    <n v="0.28885926490192343"/>
    <n v="445"/>
    <n v="8.4285714285714288"/>
  </r>
  <r>
    <s v="2024-11-04"/>
    <x v="10"/>
    <x v="0"/>
    <x v="2"/>
    <n v="57"/>
    <n v="17727"/>
    <n v="5360"/>
    <x v="2"/>
    <n v="43"/>
    <n v="2"/>
    <n v="4.0999999999999996"/>
    <n v="0.3023636261070683"/>
    <n v="311"/>
    <n v="8.1428571428571423"/>
  </r>
  <r>
    <s v="2024-11-05"/>
    <x v="10"/>
    <x v="1"/>
    <x v="0"/>
    <n v="31"/>
    <n v="7502"/>
    <n v="2900"/>
    <x v="3"/>
    <n v="45"/>
    <n v="0"/>
    <n v="4.3"/>
    <n v="0.38656358304452149"/>
    <n v="242"/>
    <n v="7.75"/>
  </r>
  <r>
    <s v="2024-11-05"/>
    <x v="10"/>
    <x v="1"/>
    <x v="1"/>
    <n v="127"/>
    <n v="56007"/>
    <n v="19257"/>
    <x v="2"/>
    <n v="57"/>
    <n v="0"/>
    <n v="4.5"/>
    <n v="0.34383202099737531"/>
    <n v="441"/>
    <n v="18.142857142857142"/>
  </r>
  <r>
    <s v="2024-11-05"/>
    <x v="10"/>
    <x v="1"/>
    <x v="2"/>
    <n v="38"/>
    <n v="9462"/>
    <n v="2709"/>
    <x v="5"/>
    <n v="42"/>
    <n v="2"/>
    <n v="4.4000000000000004"/>
    <n v="0.28630310716550411"/>
    <n v="249"/>
    <n v="7.6"/>
  </r>
  <r>
    <s v="2024-11-06"/>
    <x v="10"/>
    <x v="2"/>
    <x v="0"/>
    <n v="43"/>
    <n v="10535"/>
    <n v="3294"/>
    <x v="3"/>
    <n v="51"/>
    <n v="0"/>
    <n v="4.0999999999999996"/>
    <n v="0.31267204556241102"/>
    <n v="245"/>
    <n v="10.75"/>
  </r>
  <r>
    <s v="2024-11-06"/>
    <x v="10"/>
    <x v="2"/>
    <x v="1"/>
    <n v="101"/>
    <n v="40804"/>
    <n v="14386"/>
    <x v="6"/>
    <n v="66"/>
    <n v="0"/>
    <n v="4"/>
    <n v="0.35256347416919909"/>
    <n v="404"/>
    <n v="11.222222222222221"/>
  </r>
  <r>
    <s v="2024-11-06"/>
    <x v="10"/>
    <x v="2"/>
    <x v="2"/>
    <n v="57"/>
    <n v="11685"/>
    <n v="3843"/>
    <x v="3"/>
    <n v="44"/>
    <n v="3"/>
    <n v="3.8"/>
    <n v="0.32888318356867779"/>
    <n v="205"/>
    <n v="14.25"/>
  </r>
  <r>
    <s v="2024-11-07"/>
    <x v="10"/>
    <x v="3"/>
    <x v="0"/>
    <n v="55"/>
    <n v="10065"/>
    <n v="3057"/>
    <x v="3"/>
    <n v="52"/>
    <n v="0"/>
    <n v="4.5"/>
    <n v="0.30372578241430698"/>
    <n v="183"/>
    <n v="13.75"/>
  </r>
  <r>
    <s v="2024-11-07"/>
    <x v="10"/>
    <x v="3"/>
    <x v="1"/>
    <n v="105"/>
    <n v="39795"/>
    <n v="11658"/>
    <x v="6"/>
    <n v="54"/>
    <n v="4"/>
    <n v="4.0999999999999996"/>
    <n v="0.29295137580098002"/>
    <n v="379"/>
    <n v="11.666666666666666"/>
  </r>
  <r>
    <s v="2024-11-07"/>
    <x v="10"/>
    <x v="3"/>
    <x v="2"/>
    <n v="64"/>
    <n v="19904"/>
    <n v="8081"/>
    <x v="2"/>
    <n v="53"/>
    <n v="0"/>
    <n v="3.9"/>
    <n v="0.40599879421221863"/>
    <n v="311"/>
    <n v="9.1428571428571423"/>
  </r>
  <r>
    <s v="2024-11-08"/>
    <x v="10"/>
    <x v="4"/>
    <x v="0"/>
    <n v="52"/>
    <n v="11804"/>
    <n v="4628"/>
    <x v="3"/>
    <n v="44"/>
    <n v="1"/>
    <n v="3.9"/>
    <n v="0.39207048458149779"/>
    <n v="227"/>
    <n v="13"/>
  </r>
  <r>
    <s v="2024-11-08"/>
    <x v="10"/>
    <x v="4"/>
    <x v="1"/>
    <n v="179"/>
    <n v="84309"/>
    <n v="29855"/>
    <x v="6"/>
    <n v="68"/>
    <n v="3"/>
    <n v="4.4000000000000004"/>
    <n v="0.35411403290277432"/>
    <n v="471"/>
    <n v="19.888888888888889"/>
  </r>
  <r>
    <s v="2024-11-08"/>
    <x v="10"/>
    <x v="4"/>
    <x v="2"/>
    <n v="55"/>
    <n v="11055"/>
    <n v="3336"/>
    <x v="3"/>
    <n v="42"/>
    <n v="1"/>
    <n v="4.3"/>
    <n v="0.30176390773405698"/>
    <n v="201"/>
    <n v="13.75"/>
  </r>
  <r>
    <s v="2024-11-09"/>
    <x v="10"/>
    <x v="5"/>
    <x v="0"/>
    <n v="32"/>
    <n v="7232"/>
    <n v="2987"/>
    <x v="0"/>
    <n v="51"/>
    <n v="2"/>
    <n v="4.0999999999999996"/>
    <n v="0.41302544247787609"/>
    <n v="226"/>
    <n v="10.666666666666666"/>
  </r>
  <r>
    <s v="2024-11-09"/>
    <x v="10"/>
    <x v="5"/>
    <x v="1"/>
    <n v="157"/>
    <n v="66568"/>
    <n v="25056"/>
    <x v="2"/>
    <n v="49"/>
    <n v="0"/>
    <n v="4.4000000000000004"/>
    <n v="0.37639706766013703"/>
    <n v="424"/>
    <n v="22.428571428571427"/>
  </r>
  <r>
    <s v="2024-11-09"/>
    <x v="10"/>
    <x v="5"/>
    <x v="2"/>
    <n v="106"/>
    <n v="23002"/>
    <n v="9261"/>
    <x v="5"/>
    <n v="44"/>
    <n v="2"/>
    <n v="4.4000000000000004"/>
    <n v="0.40261716372489348"/>
    <n v="217"/>
    <n v="21.2"/>
  </r>
  <r>
    <s v="2024-11-10"/>
    <x v="10"/>
    <x v="6"/>
    <x v="0"/>
    <n v="41"/>
    <n v="10455"/>
    <n v="3856"/>
    <x v="5"/>
    <n v="43"/>
    <n v="0"/>
    <n v="4.2"/>
    <n v="0.36881874701099954"/>
    <n v="255"/>
    <n v="8.1999999999999993"/>
  </r>
  <r>
    <s v="2024-11-10"/>
    <x v="10"/>
    <x v="6"/>
    <x v="1"/>
    <n v="118"/>
    <n v="54516"/>
    <n v="17118"/>
    <x v="2"/>
    <n v="54"/>
    <n v="3"/>
    <n v="4.8"/>
    <n v="0.31399955976227162"/>
    <n v="462"/>
    <n v="16.857142857142858"/>
  </r>
  <r>
    <s v="2024-11-10"/>
    <x v="10"/>
    <x v="6"/>
    <x v="2"/>
    <n v="115"/>
    <n v="27600"/>
    <n v="8081"/>
    <x v="4"/>
    <n v="54"/>
    <n v="1"/>
    <n v="4.2"/>
    <n v="0.29278985507246374"/>
    <n v="240"/>
    <n v="19.166666666666668"/>
  </r>
  <r>
    <s v="2024-11-11"/>
    <x v="10"/>
    <x v="0"/>
    <x v="0"/>
    <n v="47"/>
    <n v="12126"/>
    <n v="3636"/>
    <x v="3"/>
    <n v="36"/>
    <n v="1"/>
    <n v="4"/>
    <n v="0.29985155863433943"/>
    <n v="258"/>
    <n v="11.75"/>
  </r>
  <r>
    <s v="2024-11-11"/>
    <x v="10"/>
    <x v="0"/>
    <x v="1"/>
    <n v="79"/>
    <n v="29625"/>
    <n v="12130"/>
    <x v="6"/>
    <n v="72"/>
    <n v="2"/>
    <n v="3.8"/>
    <n v="0.40945147679324895"/>
    <n v="375"/>
    <n v="8.7777777777777786"/>
  </r>
  <r>
    <s v="2024-11-11"/>
    <x v="10"/>
    <x v="0"/>
    <x v="2"/>
    <n v="29"/>
    <n v="8439"/>
    <n v="2739"/>
    <x v="3"/>
    <n v="43"/>
    <n v="0"/>
    <n v="4.2"/>
    <n v="0.32456452186277995"/>
    <n v="291"/>
    <n v="7.25"/>
  </r>
  <r>
    <s v="2024-11-12"/>
    <x v="10"/>
    <x v="1"/>
    <x v="0"/>
    <n v="19"/>
    <n v="4807"/>
    <n v="1673"/>
    <x v="3"/>
    <n v="52"/>
    <n v="0"/>
    <n v="4"/>
    <n v="0.34803411691283542"/>
    <n v="253"/>
    <n v="4.75"/>
  </r>
  <r>
    <s v="2024-11-12"/>
    <x v="10"/>
    <x v="1"/>
    <x v="1"/>
    <n v="61"/>
    <n v="22814"/>
    <n v="8926"/>
    <x v="1"/>
    <n v="63"/>
    <n v="1"/>
    <n v="3.8"/>
    <n v="0.39125098623652144"/>
    <n v="374"/>
    <n v="6.1"/>
  </r>
  <r>
    <s v="2024-11-12"/>
    <x v="10"/>
    <x v="1"/>
    <x v="2"/>
    <n v="38"/>
    <n v="9842"/>
    <n v="3993"/>
    <x v="2"/>
    <n v="47"/>
    <n v="0"/>
    <n v="3.9"/>
    <n v="0.40571022149969521"/>
    <n v="259"/>
    <n v="5.4285714285714288"/>
  </r>
  <r>
    <s v="2024-11-13"/>
    <x v="10"/>
    <x v="2"/>
    <x v="0"/>
    <n v="50"/>
    <n v="13250"/>
    <n v="5152"/>
    <x v="0"/>
    <n v="40"/>
    <n v="0"/>
    <n v="4.0999999999999996"/>
    <n v="0.38883018867924529"/>
    <n v="265"/>
    <n v="16.666666666666668"/>
  </r>
  <r>
    <s v="2024-11-13"/>
    <x v="10"/>
    <x v="2"/>
    <x v="1"/>
    <n v="61"/>
    <n v="18849"/>
    <n v="5780"/>
    <x v="2"/>
    <n v="75"/>
    <n v="0"/>
    <n v="4.7"/>
    <n v="0.30664756751021277"/>
    <n v="309"/>
    <n v="8.7142857142857135"/>
  </r>
  <r>
    <s v="2024-11-13"/>
    <x v="10"/>
    <x v="2"/>
    <x v="2"/>
    <n v="37"/>
    <n v="10397"/>
    <n v="3207"/>
    <x v="5"/>
    <n v="63"/>
    <n v="3"/>
    <n v="4.4000000000000004"/>
    <n v="0.30845436183514474"/>
    <n v="281"/>
    <n v="7.4"/>
  </r>
  <r>
    <s v="2024-11-14"/>
    <x v="10"/>
    <x v="3"/>
    <x v="0"/>
    <n v="47"/>
    <n v="10105"/>
    <n v="3110"/>
    <x v="3"/>
    <n v="50"/>
    <n v="2"/>
    <n v="4.4000000000000004"/>
    <n v="0.3077684314695695"/>
    <n v="215"/>
    <n v="11.75"/>
  </r>
  <r>
    <s v="2024-11-14"/>
    <x v="10"/>
    <x v="3"/>
    <x v="1"/>
    <n v="60"/>
    <n v="20400"/>
    <n v="7930"/>
    <x v="2"/>
    <n v="57"/>
    <n v="3"/>
    <n v="4.7"/>
    <n v="0.38872549019607844"/>
    <n v="340"/>
    <n v="8.5714285714285712"/>
  </r>
  <r>
    <s v="2024-11-14"/>
    <x v="10"/>
    <x v="3"/>
    <x v="2"/>
    <n v="31"/>
    <n v="7657"/>
    <n v="2829"/>
    <x v="4"/>
    <n v="46"/>
    <n v="3"/>
    <n v="3.9"/>
    <n v="0.36946584824343737"/>
    <n v="247"/>
    <n v="5.166666666666667"/>
  </r>
  <r>
    <s v="2024-11-15"/>
    <x v="10"/>
    <x v="4"/>
    <x v="0"/>
    <n v="80"/>
    <n v="21840"/>
    <n v="7403"/>
    <x v="3"/>
    <n v="37"/>
    <n v="0"/>
    <n v="4.5"/>
    <n v="0.33896520146520148"/>
    <n v="273"/>
    <n v="20"/>
  </r>
  <r>
    <s v="2024-11-15"/>
    <x v="10"/>
    <x v="4"/>
    <x v="1"/>
    <n v="143"/>
    <n v="62777"/>
    <n v="19028"/>
    <x v="1"/>
    <n v="71"/>
    <n v="0"/>
    <n v="4.3"/>
    <n v="0.3031046402344808"/>
    <n v="439"/>
    <n v="14.3"/>
  </r>
  <r>
    <s v="2024-11-15"/>
    <x v="10"/>
    <x v="4"/>
    <x v="2"/>
    <n v="48"/>
    <n v="13632"/>
    <n v="5109"/>
    <x v="3"/>
    <n v="47"/>
    <n v="1"/>
    <n v="4.4000000000000004"/>
    <n v="0.37477992957746481"/>
    <n v="284"/>
    <n v="12"/>
  </r>
  <r>
    <s v="2024-11-16"/>
    <x v="10"/>
    <x v="5"/>
    <x v="0"/>
    <n v="53"/>
    <n v="11130"/>
    <n v="3431"/>
    <x v="3"/>
    <n v="41"/>
    <n v="0"/>
    <n v="4.3"/>
    <n v="0.30826594788858941"/>
    <n v="210"/>
    <n v="13.25"/>
  </r>
  <r>
    <s v="2024-11-16"/>
    <x v="10"/>
    <x v="5"/>
    <x v="1"/>
    <n v="209"/>
    <n v="80465"/>
    <n v="26853"/>
    <x v="2"/>
    <n v="59"/>
    <n v="0"/>
    <n v="3.7"/>
    <n v="0.33372273659355001"/>
    <n v="385"/>
    <n v="29.857142857142858"/>
  </r>
  <r>
    <s v="2024-11-16"/>
    <x v="10"/>
    <x v="5"/>
    <x v="2"/>
    <n v="119"/>
    <n v="39151"/>
    <n v="11016"/>
    <x v="4"/>
    <n v="52"/>
    <n v="2"/>
    <n v="3.7"/>
    <n v="0.28137212331741207"/>
    <n v="329"/>
    <n v="19.833333333333332"/>
  </r>
  <r>
    <s v="2024-11-17"/>
    <x v="10"/>
    <x v="6"/>
    <x v="0"/>
    <n v="49"/>
    <n v="10486"/>
    <n v="2988"/>
    <x v="0"/>
    <n v="54"/>
    <n v="2"/>
    <n v="4.3"/>
    <n v="0.28495136372305929"/>
    <n v="214"/>
    <n v="16.333333333333332"/>
  </r>
  <r>
    <s v="2024-11-17"/>
    <x v="10"/>
    <x v="6"/>
    <x v="1"/>
    <n v="113"/>
    <n v="53788"/>
    <n v="15378"/>
    <x v="6"/>
    <n v="62"/>
    <n v="3"/>
    <n v="4.0999999999999996"/>
    <n v="0.28590020078827993"/>
    <n v="476"/>
    <n v="12.555555555555555"/>
  </r>
  <r>
    <s v="2024-11-17"/>
    <x v="10"/>
    <x v="6"/>
    <x v="2"/>
    <n v="94"/>
    <n v="19082"/>
    <n v="7751"/>
    <x v="3"/>
    <n v="45"/>
    <n v="3"/>
    <n v="3.8"/>
    <n v="0.40619431925374699"/>
    <n v="203"/>
    <n v="23.5"/>
  </r>
  <r>
    <s v="2024-11-18"/>
    <x v="10"/>
    <x v="0"/>
    <x v="0"/>
    <n v="40"/>
    <n v="7360"/>
    <n v="2456"/>
    <x v="0"/>
    <n v="47"/>
    <n v="1"/>
    <n v="3.9"/>
    <n v="0.33369565217391306"/>
    <n v="184"/>
    <n v="13.333333333333334"/>
  </r>
  <r>
    <s v="2024-11-18"/>
    <x v="10"/>
    <x v="0"/>
    <x v="1"/>
    <n v="111"/>
    <n v="45621"/>
    <n v="14911"/>
    <x v="1"/>
    <n v="57"/>
    <n v="3"/>
    <n v="3.5"/>
    <n v="0.32684509326845096"/>
    <n v="411"/>
    <n v="11.1"/>
  </r>
  <r>
    <s v="2024-11-18"/>
    <x v="10"/>
    <x v="0"/>
    <x v="2"/>
    <n v="56"/>
    <n v="18648"/>
    <n v="6793"/>
    <x v="4"/>
    <n v="61"/>
    <n v="3"/>
    <n v="4.3"/>
    <n v="0.3642749892749893"/>
    <n v="333"/>
    <n v="9.3333333333333339"/>
  </r>
  <r>
    <s v="2024-11-19"/>
    <x v="10"/>
    <x v="1"/>
    <x v="0"/>
    <n v="23"/>
    <n v="5060"/>
    <n v="1895"/>
    <x v="3"/>
    <n v="50"/>
    <n v="2"/>
    <n v="4.3"/>
    <n v="0.37450592885375494"/>
    <n v="220"/>
    <n v="5.75"/>
  </r>
  <r>
    <s v="2024-11-19"/>
    <x v="10"/>
    <x v="1"/>
    <x v="1"/>
    <n v="70"/>
    <n v="22330"/>
    <n v="6976"/>
    <x v="2"/>
    <n v="54"/>
    <n v="3"/>
    <n v="4.4000000000000004"/>
    <n v="0.31240483654276757"/>
    <n v="319"/>
    <n v="10"/>
  </r>
  <r>
    <s v="2024-11-19"/>
    <x v="10"/>
    <x v="1"/>
    <x v="2"/>
    <n v="56"/>
    <n v="18088"/>
    <n v="6849"/>
    <x v="5"/>
    <n v="41"/>
    <n v="0"/>
    <n v="3.9"/>
    <n v="0.37864882795223354"/>
    <n v="323"/>
    <n v="11.2"/>
  </r>
  <r>
    <s v="2024-11-20"/>
    <x v="10"/>
    <x v="2"/>
    <x v="0"/>
    <n v="50"/>
    <n v="12700"/>
    <n v="4014"/>
    <x v="5"/>
    <n v="37"/>
    <n v="0"/>
    <n v="3.9"/>
    <n v="0.31606299212598427"/>
    <n v="254"/>
    <n v="10"/>
  </r>
  <r>
    <s v="2024-11-20"/>
    <x v="10"/>
    <x v="2"/>
    <x v="1"/>
    <n v="97"/>
    <n v="41613"/>
    <n v="12861"/>
    <x v="4"/>
    <n v="49"/>
    <n v="0"/>
    <n v="3.7"/>
    <n v="0.30906207194866991"/>
    <n v="429"/>
    <n v="16.166666666666668"/>
  </r>
  <r>
    <s v="2024-11-20"/>
    <x v="10"/>
    <x v="2"/>
    <x v="2"/>
    <n v="32"/>
    <n v="9536"/>
    <n v="3669"/>
    <x v="5"/>
    <n v="65"/>
    <n v="3"/>
    <n v="4.0999999999999996"/>
    <n v="0.38475251677852351"/>
    <n v="298"/>
    <n v="6.4"/>
  </r>
  <r>
    <s v="2024-11-21"/>
    <x v="10"/>
    <x v="3"/>
    <x v="0"/>
    <n v="24"/>
    <n v="4968"/>
    <n v="2045"/>
    <x v="5"/>
    <n v="44"/>
    <n v="0"/>
    <n v="4"/>
    <n v="0.41163446054750402"/>
    <n v="207"/>
    <n v="4.8"/>
  </r>
  <r>
    <s v="2024-11-21"/>
    <x v="10"/>
    <x v="3"/>
    <x v="1"/>
    <n v="112"/>
    <n v="46816"/>
    <n v="13597"/>
    <x v="6"/>
    <n v="59"/>
    <n v="3"/>
    <n v="3.7"/>
    <n v="0.29043489405331513"/>
    <n v="418"/>
    <n v="12.444444444444445"/>
  </r>
  <r>
    <s v="2024-11-21"/>
    <x v="10"/>
    <x v="3"/>
    <x v="2"/>
    <n v="64"/>
    <n v="13568"/>
    <n v="5047"/>
    <x v="4"/>
    <n v="42"/>
    <n v="3"/>
    <n v="4.2"/>
    <n v="0.37197818396226418"/>
    <n v="212"/>
    <n v="10.666666666666666"/>
  </r>
  <r>
    <s v="2024-11-22"/>
    <x v="10"/>
    <x v="4"/>
    <x v="0"/>
    <n v="74"/>
    <n v="19684"/>
    <n v="8087"/>
    <x v="3"/>
    <n v="43"/>
    <n v="2"/>
    <n v="4.0999999999999996"/>
    <n v="0.41084129242023981"/>
    <n v="266"/>
    <n v="18.5"/>
  </r>
  <r>
    <s v="2024-11-22"/>
    <x v="10"/>
    <x v="4"/>
    <x v="1"/>
    <n v="84"/>
    <n v="28812"/>
    <n v="9337"/>
    <x v="6"/>
    <n v="69"/>
    <n v="3"/>
    <n v="4.3"/>
    <n v="0.3240663612383729"/>
    <n v="343"/>
    <n v="9.3333333333333339"/>
  </r>
  <r>
    <s v="2024-11-22"/>
    <x v="10"/>
    <x v="4"/>
    <x v="2"/>
    <n v="92"/>
    <n v="22816"/>
    <n v="7191"/>
    <x v="4"/>
    <n v="47"/>
    <n v="3"/>
    <n v="4"/>
    <n v="0.31517356241234223"/>
    <n v="248"/>
    <n v="15.333333333333334"/>
  </r>
  <r>
    <s v="2024-11-23"/>
    <x v="10"/>
    <x v="5"/>
    <x v="0"/>
    <n v="59"/>
    <n v="13747"/>
    <n v="4631"/>
    <x v="5"/>
    <n v="55"/>
    <n v="1"/>
    <n v="4.2"/>
    <n v="0.33687349967265584"/>
    <n v="233"/>
    <n v="11.8"/>
  </r>
  <r>
    <s v="2024-11-23"/>
    <x v="10"/>
    <x v="5"/>
    <x v="1"/>
    <n v="159"/>
    <n v="45474"/>
    <n v="17405"/>
    <x v="1"/>
    <n v="72"/>
    <n v="3"/>
    <n v="3.6"/>
    <n v="0.3827461846329771"/>
    <n v="286"/>
    <n v="15.9"/>
  </r>
  <r>
    <s v="2024-11-23"/>
    <x v="10"/>
    <x v="5"/>
    <x v="2"/>
    <n v="72"/>
    <n v="15696"/>
    <n v="6499"/>
    <x v="5"/>
    <n v="49"/>
    <n v="1"/>
    <n v="4"/>
    <n v="0.41405453618756372"/>
    <n v="218"/>
    <n v="14.4"/>
  </r>
  <r>
    <s v="2024-11-24"/>
    <x v="10"/>
    <x v="6"/>
    <x v="0"/>
    <n v="53"/>
    <n v="12561"/>
    <n v="4268"/>
    <x v="0"/>
    <n v="36"/>
    <n v="2"/>
    <n v="4.4000000000000004"/>
    <n v="0.33978186450123399"/>
    <n v="237"/>
    <n v="17.666666666666668"/>
  </r>
  <r>
    <s v="2024-11-24"/>
    <x v="10"/>
    <x v="6"/>
    <x v="1"/>
    <n v="115"/>
    <n v="34960"/>
    <n v="10142"/>
    <x v="1"/>
    <n v="50"/>
    <n v="1"/>
    <n v="3.6"/>
    <n v="0.29010297482837527"/>
    <n v="304"/>
    <n v="11.5"/>
  </r>
  <r>
    <s v="2024-11-24"/>
    <x v="10"/>
    <x v="6"/>
    <x v="2"/>
    <n v="79"/>
    <n v="23147"/>
    <n v="9655"/>
    <x v="2"/>
    <n v="65"/>
    <n v="1"/>
    <n v="4"/>
    <n v="0.41711668898777382"/>
    <n v="293"/>
    <n v="11.285714285714286"/>
  </r>
  <r>
    <s v="2024-11-25"/>
    <x v="10"/>
    <x v="0"/>
    <x v="0"/>
    <n v="30"/>
    <n v="5400"/>
    <n v="2100"/>
    <x v="5"/>
    <n v="54"/>
    <n v="1"/>
    <n v="4.0999999999999996"/>
    <n v="0.3888888888888889"/>
    <n v="180"/>
    <n v="6"/>
  </r>
  <r>
    <s v="2024-11-25"/>
    <x v="10"/>
    <x v="0"/>
    <x v="1"/>
    <n v="51"/>
    <n v="22593"/>
    <n v="8711"/>
    <x v="6"/>
    <n v="59"/>
    <n v="4"/>
    <n v="3.7"/>
    <n v="0.38556189970344795"/>
    <n v="443"/>
    <n v="5.666666666666667"/>
  </r>
  <r>
    <s v="2024-11-25"/>
    <x v="10"/>
    <x v="0"/>
    <x v="2"/>
    <n v="43"/>
    <n v="14534"/>
    <n v="5374"/>
    <x v="4"/>
    <n v="61"/>
    <n v="2"/>
    <n v="4.2"/>
    <n v="0.36975368102380624"/>
    <n v="338"/>
    <n v="7.166666666666667"/>
  </r>
  <r>
    <s v="2024-11-26"/>
    <x v="10"/>
    <x v="1"/>
    <x v="0"/>
    <n v="38"/>
    <n v="9462"/>
    <n v="3100"/>
    <x v="5"/>
    <n v="53"/>
    <n v="0"/>
    <n v="3.9"/>
    <n v="0.32762629465229337"/>
    <n v="249"/>
    <n v="7.6"/>
  </r>
  <r>
    <s v="2024-11-26"/>
    <x v="10"/>
    <x v="1"/>
    <x v="1"/>
    <n v="75"/>
    <n v="27150"/>
    <n v="8082"/>
    <x v="2"/>
    <n v="61"/>
    <n v="1"/>
    <n v="4.5"/>
    <n v="0.29767955801104973"/>
    <n v="362"/>
    <n v="10.714285714285714"/>
  </r>
  <r>
    <s v="2024-11-26"/>
    <x v="10"/>
    <x v="1"/>
    <x v="2"/>
    <n v="39"/>
    <n v="8697"/>
    <n v="2968"/>
    <x v="5"/>
    <n v="61"/>
    <n v="3"/>
    <n v="4.0999999999999996"/>
    <n v="0.34126710359894219"/>
    <n v="223"/>
    <n v="7.8"/>
  </r>
  <r>
    <s v="2024-11-27"/>
    <x v="10"/>
    <x v="2"/>
    <x v="0"/>
    <n v="34"/>
    <n v="8704"/>
    <n v="2930"/>
    <x v="3"/>
    <n v="38"/>
    <n v="1"/>
    <n v="3.9"/>
    <n v="0.3366268382352941"/>
    <n v="256"/>
    <n v="8.5"/>
  </r>
  <r>
    <s v="2024-11-27"/>
    <x v="10"/>
    <x v="2"/>
    <x v="1"/>
    <n v="91"/>
    <n v="42133"/>
    <n v="12468"/>
    <x v="4"/>
    <n v="62"/>
    <n v="3"/>
    <n v="4.2"/>
    <n v="0.29592006265872356"/>
    <n v="463"/>
    <n v="15.166666666666666"/>
  </r>
  <r>
    <s v="2024-11-27"/>
    <x v="10"/>
    <x v="2"/>
    <x v="2"/>
    <n v="29"/>
    <n v="6699"/>
    <n v="2304"/>
    <x v="2"/>
    <n v="57"/>
    <n v="1"/>
    <n v="3.8"/>
    <n v="0.34393193013882667"/>
    <n v="231"/>
    <n v="4.1428571428571432"/>
  </r>
  <r>
    <s v="2024-11-28"/>
    <x v="10"/>
    <x v="3"/>
    <x v="0"/>
    <n v="40"/>
    <n v="8280"/>
    <n v="2899"/>
    <x v="3"/>
    <n v="48"/>
    <n v="0"/>
    <n v="4.5"/>
    <n v="0.35012077294685989"/>
    <n v="207"/>
    <n v="10"/>
  </r>
  <r>
    <s v="2024-11-28"/>
    <x v="10"/>
    <x v="3"/>
    <x v="1"/>
    <n v="143"/>
    <n v="65494"/>
    <n v="24388"/>
    <x v="7"/>
    <n v="55"/>
    <n v="3"/>
    <n v="4.0999999999999996"/>
    <n v="0.37236998809051208"/>
    <n v="458"/>
    <n v="17.875"/>
  </r>
  <r>
    <s v="2024-11-28"/>
    <x v="10"/>
    <x v="3"/>
    <x v="2"/>
    <n v="31"/>
    <n v="9951"/>
    <n v="2946"/>
    <x v="4"/>
    <n v="41"/>
    <n v="0"/>
    <n v="3.9"/>
    <n v="0.29605064817606269"/>
    <n v="321"/>
    <n v="5.166666666666667"/>
  </r>
  <r>
    <s v="2024-11-29"/>
    <x v="10"/>
    <x v="4"/>
    <x v="0"/>
    <n v="73"/>
    <n v="14892"/>
    <n v="5330"/>
    <x v="3"/>
    <n v="43"/>
    <n v="2"/>
    <n v="4"/>
    <n v="0.35791028740263231"/>
    <n v="204"/>
    <n v="18.25"/>
  </r>
  <r>
    <s v="2024-11-29"/>
    <x v="10"/>
    <x v="4"/>
    <x v="1"/>
    <n v="118"/>
    <n v="53808"/>
    <n v="18205"/>
    <x v="1"/>
    <n v="53"/>
    <n v="1"/>
    <n v="4.5999999999999996"/>
    <n v="0.33833258994944987"/>
    <n v="456"/>
    <n v="11.8"/>
  </r>
  <r>
    <s v="2024-11-29"/>
    <x v="10"/>
    <x v="4"/>
    <x v="2"/>
    <n v="86"/>
    <n v="21328"/>
    <n v="6626"/>
    <x v="3"/>
    <n v="51"/>
    <n v="0"/>
    <n v="3.8"/>
    <n v="0.31067141785446362"/>
    <n v="248"/>
    <n v="21.5"/>
  </r>
  <r>
    <s v="2024-11-30"/>
    <x v="10"/>
    <x v="5"/>
    <x v="0"/>
    <n v="96"/>
    <n v="26304"/>
    <n v="8906"/>
    <x v="5"/>
    <n v="42"/>
    <n v="2"/>
    <n v="4.5"/>
    <n v="0.33857968369829683"/>
    <n v="274"/>
    <n v="19.2"/>
  </r>
  <r>
    <s v="2024-11-30"/>
    <x v="10"/>
    <x v="5"/>
    <x v="1"/>
    <n v="239"/>
    <n v="87474"/>
    <n v="26693"/>
    <x v="4"/>
    <n v="66"/>
    <n v="1"/>
    <n v="3.7"/>
    <n v="0.30515353133502526"/>
    <n v="366"/>
    <n v="39.833333333333336"/>
  </r>
  <r>
    <s v="2024-11-30"/>
    <x v="10"/>
    <x v="5"/>
    <x v="2"/>
    <n v="98"/>
    <n v="21266"/>
    <n v="6369"/>
    <x v="3"/>
    <n v="49"/>
    <n v="3"/>
    <n v="4.4000000000000004"/>
    <n v="0.29949214708925043"/>
    <n v="217"/>
    <n v="24.5"/>
  </r>
  <r>
    <s v="2024-12-01"/>
    <x v="11"/>
    <x v="6"/>
    <x v="0"/>
    <n v="47"/>
    <n v="12972"/>
    <n v="4118"/>
    <x v="3"/>
    <n v="46"/>
    <n v="2"/>
    <n v="4.3"/>
    <n v="0.31745297563983965"/>
    <n v="276"/>
    <n v="11.75"/>
  </r>
  <r>
    <s v="2024-12-01"/>
    <x v="11"/>
    <x v="6"/>
    <x v="1"/>
    <n v="125"/>
    <n v="37125"/>
    <n v="14244"/>
    <x v="1"/>
    <n v="51"/>
    <n v="2"/>
    <n v="4.2"/>
    <n v="0.38367676767676767"/>
    <n v="297"/>
    <n v="12.5"/>
  </r>
  <r>
    <s v="2024-12-01"/>
    <x v="11"/>
    <x v="6"/>
    <x v="2"/>
    <n v="91"/>
    <n v="27027"/>
    <n v="8126"/>
    <x v="3"/>
    <n v="64"/>
    <n v="2"/>
    <n v="3.9"/>
    <n v="0.30066230066230065"/>
    <n v="297"/>
    <n v="22.75"/>
  </r>
  <r>
    <s v="2024-12-02"/>
    <x v="11"/>
    <x v="0"/>
    <x v="0"/>
    <n v="22"/>
    <n v="5808"/>
    <n v="2020"/>
    <x v="5"/>
    <n v="52"/>
    <n v="0"/>
    <n v="4.3"/>
    <n v="0.34779614325068869"/>
    <n v="264"/>
    <n v="4.4000000000000004"/>
  </r>
  <r>
    <s v="2024-12-02"/>
    <x v="11"/>
    <x v="0"/>
    <x v="1"/>
    <n v="114"/>
    <n v="35454"/>
    <n v="12792"/>
    <x v="6"/>
    <n v="46"/>
    <n v="3"/>
    <n v="4.5"/>
    <n v="0.36080555085462851"/>
    <n v="311"/>
    <n v="12.666666666666666"/>
  </r>
  <r>
    <s v="2024-12-02"/>
    <x v="11"/>
    <x v="0"/>
    <x v="2"/>
    <n v="63"/>
    <n v="22050"/>
    <n v="9038"/>
    <x v="3"/>
    <n v="63"/>
    <n v="1"/>
    <n v="3.8"/>
    <n v="0.40988662131519277"/>
    <n v="350"/>
    <n v="15.75"/>
  </r>
  <r>
    <s v="2024-12-03"/>
    <x v="11"/>
    <x v="1"/>
    <x v="0"/>
    <n v="43"/>
    <n v="8127"/>
    <n v="3302"/>
    <x v="0"/>
    <n v="35"/>
    <n v="1"/>
    <n v="4.2"/>
    <n v="0.40629998769533654"/>
    <n v="189"/>
    <n v="14.333333333333334"/>
  </r>
  <r>
    <s v="2024-12-03"/>
    <x v="11"/>
    <x v="1"/>
    <x v="1"/>
    <n v="104"/>
    <n v="37232"/>
    <n v="13102"/>
    <x v="2"/>
    <n v="52"/>
    <n v="4"/>
    <n v="4.3"/>
    <n v="0.35190159003008165"/>
    <n v="358"/>
    <n v="14.857142857142858"/>
  </r>
  <r>
    <s v="2024-12-03"/>
    <x v="11"/>
    <x v="1"/>
    <x v="2"/>
    <n v="68"/>
    <n v="21216"/>
    <n v="7405"/>
    <x v="2"/>
    <n v="56"/>
    <n v="3"/>
    <n v="4.5999999999999996"/>
    <n v="0.34902903469079938"/>
    <n v="312"/>
    <n v="9.7142857142857135"/>
  </r>
  <r>
    <s v="2024-12-04"/>
    <x v="11"/>
    <x v="2"/>
    <x v="0"/>
    <n v="40"/>
    <n v="10160"/>
    <n v="2884"/>
    <x v="0"/>
    <n v="46"/>
    <n v="1"/>
    <n v="4.5"/>
    <n v="0.28385826771653544"/>
    <n v="254"/>
    <n v="13.333333333333334"/>
  </r>
  <r>
    <s v="2024-12-04"/>
    <x v="11"/>
    <x v="2"/>
    <x v="1"/>
    <n v="94"/>
    <n v="44744"/>
    <n v="12736"/>
    <x v="7"/>
    <n v="47"/>
    <n v="2"/>
    <n v="4.2"/>
    <n v="0.28464151618094047"/>
    <n v="476"/>
    <n v="11.75"/>
  </r>
  <r>
    <s v="2024-12-04"/>
    <x v="11"/>
    <x v="2"/>
    <x v="2"/>
    <n v="71"/>
    <n v="23359"/>
    <n v="7459"/>
    <x v="2"/>
    <n v="52"/>
    <n v="2"/>
    <n v="4.4000000000000004"/>
    <n v="0.31932017637741339"/>
    <n v="329"/>
    <n v="10.142857142857142"/>
  </r>
  <r>
    <s v="2024-12-05"/>
    <x v="11"/>
    <x v="3"/>
    <x v="0"/>
    <n v="49"/>
    <n v="9751"/>
    <n v="3499"/>
    <x v="0"/>
    <n v="37"/>
    <n v="0"/>
    <n v="4"/>
    <n v="0.35883499128294533"/>
    <n v="199"/>
    <n v="16.333333333333332"/>
  </r>
  <r>
    <s v="2024-12-05"/>
    <x v="11"/>
    <x v="3"/>
    <x v="1"/>
    <n v="82"/>
    <n v="30996"/>
    <n v="10748"/>
    <x v="4"/>
    <n v="59"/>
    <n v="3"/>
    <n v="4.3"/>
    <n v="0.34675441992515166"/>
    <n v="378"/>
    <n v="13.666666666666666"/>
  </r>
  <r>
    <s v="2024-12-05"/>
    <x v="11"/>
    <x v="3"/>
    <x v="2"/>
    <n v="34"/>
    <n v="7004"/>
    <n v="2603"/>
    <x v="4"/>
    <n v="53"/>
    <n v="1"/>
    <n v="3.7"/>
    <n v="0.37164477441462024"/>
    <n v="206"/>
    <n v="5.666666666666667"/>
  </r>
  <r>
    <s v="2024-12-06"/>
    <x v="11"/>
    <x v="4"/>
    <x v="0"/>
    <n v="56"/>
    <n v="11312"/>
    <n v="3349"/>
    <x v="3"/>
    <n v="47"/>
    <n v="0"/>
    <n v="4"/>
    <n v="0.29605728429985856"/>
    <n v="202"/>
    <n v="14"/>
  </r>
  <r>
    <s v="2024-12-06"/>
    <x v="11"/>
    <x v="4"/>
    <x v="1"/>
    <n v="133"/>
    <n v="39900"/>
    <n v="16455"/>
    <x v="6"/>
    <n v="52"/>
    <n v="3"/>
    <n v="4.3"/>
    <n v="0.412406015037594"/>
    <n v="300"/>
    <n v="14.777777777777779"/>
  </r>
  <r>
    <s v="2024-12-06"/>
    <x v="11"/>
    <x v="4"/>
    <x v="2"/>
    <n v="85"/>
    <n v="21080"/>
    <n v="7727"/>
    <x v="2"/>
    <n v="52"/>
    <n v="3"/>
    <n v="4.5"/>
    <n v="0.36655597722960154"/>
    <n v="248"/>
    <n v="12.142857142857142"/>
  </r>
  <r>
    <s v="2024-12-07"/>
    <x v="11"/>
    <x v="5"/>
    <x v="0"/>
    <n v="96"/>
    <n v="24480"/>
    <n v="7503"/>
    <x v="0"/>
    <n v="38"/>
    <n v="2"/>
    <n v="4.2"/>
    <n v="0.30649509803921571"/>
    <n v="255"/>
    <n v="32"/>
  </r>
  <r>
    <s v="2024-12-07"/>
    <x v="11"/>
    <x v="5"/>
    <x v="1"/>
    <n v="125"/>
    <n v="42250"/>
    <n v="16952"/>
    <x v="6"/>
    <n v="61"/>
    <n v="4"/>
    <n v="4.5"/>
    <n v="0.40123076923076922"/>
    <n v="338"/>
    <n v="13.888888888888889"/>
  </r>
  <r>
    <s v="2024-12-07"/>
    <x v="11"/>
    <x v="5"/>
    <x v="2"/>
    <n v="56"/>
    <n v="13496"/>
    <n v="5467"/>
    <x v="5"/>
    <n v="42"/>
    <n v="2"/>
    <n v="3.9"/>
    <n v="0.40508298755186722"/>
    <n v="241"/>
    <n v="11.2"/>
  </r>
  <r>
    <s v="2024-12-08"/>
    <x v="11"/>
    <x v="6"/>
    <x v="0"/>
    <n v="64"/>
    <n v="14272"/>
    <n v="4491"/>
    <x v="3"/>
    <n v="52"/>
    <n v="0"/>
    <n v="4.0999999999999996"/>
    <n v="0.31467208520179374"/>
    <n v="223"/>
    <n v="16"/>
  </r>
  <r>
    <s v="2024-12-08"/>
    <x v="11"/>
    <x v="6"/>
    <x v="1"/>
    <n v="177"/>
    <n v="72039"/>
    <n v="29051"/>
    <x v="4"/>
    <n v="66"/>
    <n v="0"/>
    <n v="3.5"/>
    <n v="0.40326767445411515"/>
    <n v="407"/>
    <n v="29.5"/>
  </r>
  <r>
    <s v="2024-12-08"/>
    <x v="11"/>
    <x v="6"/>
    <x v="2"/>
    <n v="115"/>
    <n v="29555"/>
    <n v="12068"/>
    <x v="5"/>
    <n v="64"/>
    <n v="3"/>
    <n v="4"/>
    <n v="0.40832346472678061"/>
    <n v="257"/>
    <n v="23"/>
  </r>
  <r>
    <s v="2024-12-09"/>
    <x v="11"/>
    <x v="0"/>
    <x v="0"/>
    <n v="45"/>
    <n v="12465"/>
    <n v="4276"/>
    <x v="3"/>
    <n v="43"/>
    <n v="2"/>
    <n v="4.2"/>
    <n v="0.34304051343762537"/>
    <n v="277"/>
    <n v="11.25"/>
  </r>
  <r>
    <s v="2024-12-09"/>
    <x v="11"/>
    <x v="0"/>
    <x v="1"/>
    <n v="74"/>
    <n v="35002"/>
    <n v="12692"/>
    <x v="1"/>
    <n v="47"/>
    <n v="3"/>
    <n v="4.8"/>
    <n v="0.36260785097994402"/>
    <n v="473"/>
    <n v="7.4"/>
  </r>
  <r>
    <s v="2024-12-09"/>
    <x v="11"/>
    <x v="0"/>
    <x v="2"/>
    <n v="33"/>
    <n v="9438"/>
    <n v="3254"/>
    <x v="4"/>
    <n v="64"/>
    <n v="3"/>
    <n v="3.9"/>
    <n v="0.34477643568552657"/>
    <n v="286"/>
    <n v="5.5"/>
  </r>
  <r>
    <s v="2024-12-10"/>
    <x v="11"/>
    <x v="1"/>
    <x v="0"/>
    <n v="17"/>
    <n v="3502"/>
    <n v="1378"/>
    <x v="0"/>
    <n v="40"/>
    <n v="0"/>
    <n v="4"/>
    <n v="0.39348943460879499"/>
    <n v="206"/>
    <n v="5.666666666666667"/>
  </r>
  <r>
    <s v="2024-12-10"/>
    <x v="11"/>
    <x v="1"/>
    <x v="1"/>
    <n v="102"/>
    <n v="44676"/>
    <n v="18069"/>
    <x v="7"/>
    <n v="52"/>
    <n v="2"/>
    <n v="3.8"/>
    <n v="0.4044453397797475"/>
    <n v="438"/>
    <n v="12.75"/>
  </r>
  <r>
    <s v="2024-12-10"/>
    <x v="11"/>
    <x v="1"/>
    <x v="2"/>
    <n v="62"/>
    <n v="19468"/>
    <n v="6455"/>
    <x v="4"/>
    <n v="57"/>
    <n v="0"/>
    <n v="3.7"/>
    <n v="0.33156975549619888"/>
    <n v="314"/>
    <n v="10.333333333333334"/>
  </r>
  <r>
    <s v="2024-12-11"/>
    <x v="11"/>
    <x v="2"/>
    <x v="0"/>
    <n v="23"/>
    <n v="4416"/>
    <n v="1601"/>
    <x v="5"/>
    <n v="47"/>
    <n v="1"/>
    <n v="4.5"/>
    <n v="0.36254528985507245"/>
    <n v="192"/>
    <n v="4.5999999999999996"/>
  </r>
  <r>
    <s v="2024-12-11"/>
    <x v="11"/>
    <x v="2"/>
    <x v="1"/>
    <n v="80"/>
    <n v="33520"/>
    <n v="12292"/>
    <x v="4"/>
    <n v="56"/>
    <n v="0"/>
    <n v="4.8"/>
    <n v="0.36670644391408114"/>
    <n v="419"/>
    <n v="13.333333333333334"/>
  </r>
  <r>
    <s v="2024-12-11"/>
    <x v="11"/>
    <x v="2"/>
    <x v="2"/>
    <n v="27"/>
    <n v="8019"/>
    <n v="2501"/>
    <x v="3"/>
    <n v="43"/>
    <n v="0"/>
    <n v="4.4000000000000004"/>
    <n v="0.3118842748472378"/>
    <n v="297"/>
    <n v="6.75"/>
  </r>
  <r>
    <s v="2024-12-12"/>
    <x v="11"/>
    <x v="3"/>
    <x v="0"/>
    <n v="52"/>
    <n v="10504"/>
    <n v="4033"/>
    <x v="3"/>
    <n v="49"/>
    <n v="2"/>
    <n v="4.4000000000000004"/>
    <n v="0.38394897182025894"/>
    <n v="202"/>
    <n v="13"/>
  </r>
  <r>
    <s v="2024-12-12"/>
    <x v="11"/>
    <x v="3"/>
    <x v="1"/>
    <n v="107"/>
    <n v="35952"/>
    <n v="11450"/>
    <x v="7"/>
    <n v="64"/>
    <n v="0"/>
    <n v="3.5"/>
    <n v="0.31848019581664444"/>
    <n v="336"/>
    <n v="13.375"/>
  </r>
  <r>
    <s v="2024-12-12"/>
    <x v="11"/>
    <x v="3"/>
    <x v="2"/>
    <n v="34"/>
    <n v="7616"/>
    <n v="2455"/>
    <x v="3"/>
    <n v="40"/>
    <n v="3"/>
    <n v="3.9"/>
    <n v="0.32234768907563027"/>
    <n v="224"/>
    <n v="8.5"/>
  </r>
  <r>
    <s v="2024-12-13"/>
    <x v="11"/>
    <x v="4"/>
    <x v="0"/>
    <n v="28"/>
    <n v="5712"/>
    <n v="1956"/>
    <x v="3"/>
    <n v="39"/>
    <n v="0"/>
    <n v="4.3"/>
    <n v="0.34243697478991597"/>
    <n v="204"/>
    <n v="7"/>
  </r>
  <r>
    <s v="2024-12-13"/>
    <x v="11"/>
    <x v="4"/>
    <x v="1"/>
    <n v="82"/>
    <n v="35096"/>
    <n v="9969"/>
    <x v="4"/>
    <n v="49"/>
    <n v="4"/>
    <n v="4"/>
    <n v="0.28404946432641898"/>
    <n v="428"/>
    <n v="13.666666666666666"/>
  </r>
  <r>
    <s v="2024-12-13"/>
    <x v="11"/>
    <x v="4"/>
    <x v="2"/>
    <n v="62"/>
    <n v="13392"/>
    <n v="5173"/>
    <x v="3"/>
    <n v="43"/>
    <n v="2"/>
    <n v="3.6"/>
    <n v="0.38627538829151731"/>
    <n v="216"/>
    <n v="15.5"/>
  </r>
  <r>
    <s v="2024-12-14"/>
    <x v="11"/>
    <x v="5"/>
    <x v="0"/>
    <n v="94"/>
    <n v="17014"/>
    <n v="5528"/>
    <x v="3"/>
    <n v="46"/>
    <n v="0"/>
    <n v="4.0999999999999996"/>
    <n v="0.32490889855413191"/>
    <n v="181"/>
    <n v="23.5"/>
  </r>
  <r>
    <s v="2024-12-14"/>
    <x v="11"/>
    <x v="5"/>
    <x v="1"/>
    <n v="109"/>
    <n v="46107"/>
    <n v="16672"/>
    <x v="2"/>
    <n v="64"/>
    <n v="4"/>
    <n v="4.5999999999999996"/>
    <n v="0.36159368425618671"/>
    <n v="423"/>
    <n v="15.571428571428571"/>
  </r>
  <r>
    <s v="2024-12-14"/>
    <x v="11"/>
    <x v="5"/>
    <x v="2"/>
    <n v="78"/>
    <n v="17550"/>
    <n v="5507"/>
    <x v="4"/>
    <n v="56"/>
    <n v="0"/>
    <n v="4.2"/>
    <n v="0.31378917378917381"/>
    <n v="225"/>
    <n v="13"/>
  </r>
  <r>
    <s v="2024-12-15"/>
    <x v="11"/>
    <x v="6"/>
    <x v="0"/>
    <n v="56"/>
    <n v="10416"/>
    <n v="3661"/>
    <x v="0"/>
    <n v="51"/>
    <n v="0"/>
    <n v="4.3"/>
    <n v="0.35147849462365593"/>
    <n v="186"/>
    <n v="18.666666666666668"/>
  </r>
  <r>
    <s v="2024-12-15"/>
    <x v="11"/>
    <x v="6"/>
    <x v="1"/>
    <n v="164"/>
    <n v="76424"/>
    <n v="24060"/>
    <x v="1"/>
    <n v="67"/>
    <n v="4"/>
    <n v="4.8"/>
    <n v="0.31482256882654663"/>
    <n v="466"/>
    <n v="16.399999999999999"/>
  </r>
  <r>
    <s v="2024-12-15"/>
    <x v="11"/>
    <x v="6"/>
    <x v="2"/>
    <n v="113"/>
    <n v="23843"/>
    <n v="9456"/>
    <x v="2"/>
    <n v="53"/>
    <n v="2"/>
    <n v="4.0999999999999996"/>
    <n v="0.39659438829006416"/>
    <n v="211"/>
    <n v="16.142857142857142"/>
  </r>
  <r>
    <s v="2024-12-16"/>
    <x v="11"/>
    <x v="0"/>
    <x v="0"/>
    <n v="34"/>
    <n v="9418"/>
    <n v="3048"/>
    <x v="5"/>
    <n v="51"/>
    <n v="2"/>
    <n v="4.2"/>
    <n v="0.32363559142068382"/>
    <n v="277"/>
    <n v="6.8"/>
  </r>
  <r>
    <s v="2024-12-16"/>
    <x v="11"/>
    <x v="0"/>
    <x v="1"/>
    <n v="107"/>
    <n v="32314"/>
    <n v="11890"/>
    <x v="1"/>
    <n v="60"/>
    <n v="3"/>
    <n v="3.6"/>
    <n v="0.36795197128179735"/>
    <n v="302"/>
    <n v="10.7"/>
  </r>
  <r>
    <s v="2024-12-16"/>
    <x v="11"/>
    <x v="0"/>
    <x v="2"/>
    <n v="30"/>
    <n v="8940"/>
    <n v="3442"/>
    <x v="5"/>
    <n v="51"/>
    <n v="1"/>
    <n v="3.9"/>
    <n v="0.38501118568232662"/>
    <n v="298"/>
    <n v="6"/>
  </r>
  <r>
    <s v="2024-12-17"/>
    <x v="11"/>
    <x v="1"/>
    <x v="0"/>
    <n v="47"/>
    <n v="10622"/>
    <n v="4207"/>
    <x v="0"/>
    <n v="48"/>
    <n v="1"/>
    <n v="3.9"/>
    <n v="0.3960647712295236"/>
    <n v="226"/>
    <n v="15.666666666666666"/>
  </r>
  <r>
    <s v="2024-12-17"/>
    <x v="11"/>
    <x v="1"/>
    <x v="1"/>
    <n v="59"/>
    <n v="23246"/>
    <n v="7858"/>
    <x v="7"/>
    <n v="47"/>
    <n v="4"/>
    <n v="3.8"/>
    <n v="0.33803665146691902"/>
    <n v="394"/>
    <n v="7.375"/>
  </r>
  <r>
    <s v="2024-12-17"/>
    <x v="11"/>
    <x v="1"/>
    <x v="2"/>
    <n v="62"/>
    <n v="15624"/>
    <n v="5643"/>
    <x v="4"/>
    <n v="65"/>
    <n v="0"/>
    <n v="4.4000000000000004"/>
    <n v="0.36117511520737328"/>
    <n v="252"/>
    <n v="10.333333333333334"/>
  </r>
  <r>
    <s v="2024-12-18"/>
    <x v="11"/>
    <x v="2"/>
    <x v="0"/>
    <n v="53"/>
    <n v="9858"/>
    <n v="2840"/>
    <x v="0"/>
    <n v="36"/>
    <n v="2"/>
    <n v="4.4000000000000004"/>
    <n v="0.28809089064719012"/>
    <n v="186"/>
    <n v="17.666666666666668"/>
  </r>
  <r>
    <s v="2024-12-18"/>
    <x v="11"/>
    <x v="2"/>
    <x v="1"/>
    <n v="131"/>
    <n v="59998"/>
    <n v="19458"/>
    <x v="2"/>
    <n v="45"/>
    <n v="0"/>
    <n v="3.7"/>
    <n v="0.32431081036034537"/>
    <n v="458"/>
    <n v="18.714285714285715"/>
  </r>
  <r>
    <s v="2024-12-18"/>
    <x v="11"/>
    <x v="2"/>
    <x v="2"/>
    <n v="51"/>
    <n v="17136"/>
    <n v="7180"/>
    <x v="5"/>
    <n v="56"/>
    <n v="0"/>
    <n v="4.5"/>
    <n v="0.41900093370681607"/>
    <n v="336"/>
    <n v="10.199999999999999"/>
  </r>
  <r>
    <s v="2024-12-19"/>
    <x v="11"/>
    <x v="3"/>
    <x v="0"/>
    <n v="47"/>
    <n v="13019"/>
    <n v="3717"/>
    <x v="0"/>
    <n v="51"/>
    <n v="0"/>
    <n v="3.9"/>
    <n v="0.28550579921652969"/>
    <n v="277"/>
    <n v="15.666666666666666"/>
  </r>
  <r>
    <s v="2024-12-19"/>
    <x v="11"/>
    <x v="3"/>
    <x v="1"/>
    <n v="117"/>
    <n v="37908"/>
    <n v="15579"/>
    <x v="7"/>
    <n v="73"/>
    <n v="3"/>
    <n v="4.4000000000000004"/>
    <n v="0.41096866096866097"/>
    <n v="324"/>
    <n v="14.625"/>
  </r>
  <r>
    <s v="2024-12-19"/>
    <x v="11"/>
    <x v="3"/>
    <x v="2"/>
    <n v="62"/>
    <n v="16492"/>
    <n v="5827"/>
    <x v="5"/>
    <n v="42"/>
    <n v="0"/>
    <n v="4.2"/>
    <n v="0.35332282318699976"/>
    <n v="266"/>
    <n v="12.4"/>
  </r>
  <r>
    <s v="2024-12-20"/>
    <x v="11"/>
    <x v="4"/>
    <x v="0"/>
    <n v="28"/>
    <n v="5124"/>
    <n v="1907"/>
    <x v="5"/>
    <n v="36"/>
    <n v="0"/>
    <n v="3.9"/>
    <n v="0.37217017954722875"/>
    <n v="183"/>
    <n v="5.6"/>
  </r>
  <r>
    <s v="2024-12-20"/>
    <x v="11"/>
    <x v="4"/>
    <x v="1"/>
    <n v="194"/>
    <n v="86136"/>
    <n v="32028"/>
    <x v="7"/>
    <n v="65"/>
    <n v="0"/>
    <n v="4.7"/>
    <n v="0.37183059348007802"/>
    <n v="444"/>
    <n v="24.25"/>
  </r>
  <r>
    <s v="2024-12-20"/>
    <x v="11"/>
    <x v="4"/>
    <x v="2"/>
    <n v="109"/>
    <n v="35316"/>
    <n v="10005"/>
    <x v="4"/>
    <n v="61"/>
    <n v="2"/>
    <n v="4.5"/>
    <n v="0.28329935440027182"/>
    <n v="324"/>
    <n v="18.166666666666668"/>
  </r>
  <r>
    <s v="2024-12-21"/>
    <x v="11"/>
    <x v="5"/>
    <x v="0"/>
    <n v="75"/>
    <n v="20550"/>
    <n v="6651"/>
    <x v="5"/>
    <n v="46"/>
    <n v="2"/>
    <n v="4.4000000000000004"/>
    <n v="0.32364963503649635"/>
    <n v="274"/>
    <n v="15"/>
  </r>
  <r>
    <s v="2024-12-21"/>
    <x v="11"/>
    <x v="5"/>
    <x v="1"/>
    <n v="215"/>
    <n v="101050"/>
    <n v="41240"/>
    <x v="7"/>
    <n v="68"/>
    <n v="1"/>
    <n v="4.4000000000000004"/>
    <n v="0.40811479465611084"/>
    <n v="470"/>
    <n v="26.875"/>
  </r>
  <r>
    <s v="2024-12-21"/>
    <x v="11"/>
    <x v="5"/>
    <x v="2"/>
    <n v="77"/>
    <n v="15708"/>
    <n v="5097"/>
    <x v="4"/>
    <n v="50"/>
    <n v="3"/>
    <n v="3.8"/>
    <n v="0.32448433919022152"/>
    <n v="204"/>
    <n v="12.833333333333334"/>
  </r>
  <r>
    <s v="2024-12-22"/>
    <x v="11"/>
    <x v="6"/>
    <x v="0"/>
    <n v="68"/>
    <n v="17408"/>
    <n v="5314"/>
    <x v="5"/>
    <n v="38"/>
    <n v="2"/>
    <n v="4.0999999999999996"/>
    <n v="0.30526194852941174"/>
    <n v="256"/>
    <n v="13.6"/>
  </r>
  <r>
    <s v="2024-12-22"/>
    <x v="11"/>
    <x v="6"/>
    <x v="1"/>
    <n v="121"/>
    <n v="49005"/>
    <n v="19949"/>
    <x v="1"/>
    <n v="61"/>
    <n v="4"/>
    <n v="4.5"/>
    <n v="0.40708091011121317"/>
    <n v="405"/>
    <n v="12.1"/>
  </r>
  <r>
    <s v="2024-12-22"/>
    <x v="11"/>
    <x v="6"/>
    <x v="2"/>
    <n v="67"/>
    <n v="20971"/>
    <n v="5963"/>
    <x v="2"/>
    <n v="40"/>
    <n v="3"/>
    <n v="3.7"/>
    <n v="0.28434504792332266"/>
    <n v="313"/>
    <n v="9.5714285714285712"/>
  </r>
  <r>
    <s v="2024-12-23"/>
    <x v="11"/>
    <x v="0"/>
    <x v="0"/>
    <n v="21"/>
    <n v="4137"/>
    <n v="1353"/>
    <x v="3"/>
    <n v="41"/>
    <n v="2"/>
    <n v="4.5"/>
    <n v="0.32704858593183467"/>
    <n v="197"/>
    <n v="5.25"/>
  </r>
  <r>
    <s v="2024-12-23"/>
    <x v="11"/>
    <x v="0"/>
    <x v="1"/>
    <n v="56"/>
    <n v="19880"/>
    <n v="6210"/>
    <x v="1"/>
    <n v="74"/>
    <n v="4"/>
    <n v="4.5999999999999996"/>
    <n v="0.31237424547283704"/>
    <n v="355"/>
    <n v="5.6"/>
  </r>
  <r>
    <s v="2024-12-23"/>
    <x v="11"/>
    <x v="0"/>
    <x v="2"/>
    <n v="62"/>
    <n v="13702"/>
    <n v="5269"/>
    <x v="5"/>
    <n v="47"/>
    <n v="2"/>
    <n v="4.2"/>
    <n v="0.38454240256896804"/>
    <n v="221"/>
    <n v="12.4"/>
  </r>
  <r>
    <s v="2024-12-24"/>
    <x v="11"/>
    <x v="1"/>
    <x v="0"/>
    <n v="18"/>
    <n v="4122"/>
    <n v="1366"/>
    <x v="3"/>
    <n v="43"/>
    <n v="2"/>
    <n v="4.0999999999999996"/>
    <n v="0.33139252789907814"/>
    <n v="229"/>
    <n v="4.5"/>
  </r>
  <r>
    <s v="2024-12-24"/>
    <x v="11"/>
    <x v="1"/>
    <x v="1"/>
    <n v="74"/>
    <n v="27454"/>
    <n v="11003"/>
    <x v="6"/>
    <n v="68"/>
    <n v="0"/>
    <n v="3.7"/>
    <n v="0.40077948568514604"/>
    <n v="371"/>
    <n v="8.2222222222222214"/>
  </r>
  <r>
    <s v="2024-12-24"/>
    <x v="11"/>
    <x v="1"/>
    <x v="2"/>
    <n v="47"/>
    <n v="11797"/>
    <n v="4149"/>
    <x v="5"/>
    <n v="65"/>
    <n v="2"/>
    <n v="4"/>
    <n v="0.35169958464016277"/>
    <n v="251"/>
    <n v="9.4"/>
  </r>
  <r>
    <s v="2024-12-25"/>
    <x v="11"/>
    <x v="2"/>
    <x v="0"/>
    <n v="46"/>
    <n v="12420"/>
    <n v="5155"/>
    <x v="0"/>
    <n v="52"/>
    <n v="0"/>
    <n v="4"/>
    <n v="0.41505636070853463"/>
    <n v="270"/>
    <n v="15.333333333333334"/>
  </r>
  <r>
    <s v="2024-12-25"/>
    <x v="11"/>
    <x v="2"/>
    <x v="1"/>
    <n v="109"/>
    <n v="36733"/>
    <n v="11660"/>
    <x v="2"/>
    <n v="56"/>
    <n v="0"/>
    <n v="3.5"/>
    <n v="0.31742574796504508"/>
    <n v="337"/>
    <n v="15.571428571428571"/>
  </r>
  <r>
    <s v="2024-12-25"/>
    <x v="11"/>
    <x v="2"/>
    <x v="2"/>
    <n v="46"/>
    <n v="11500"/>
    <n v="4125"/>
    <x v="3"/>
    <n v="60"/>
    <n v="2"/>
    <n v="4.3"/>
    <n v="0.35869565217391303"/>
    <n v="250"/>
    <n v="11.5"/>
  </r>
  <r>
    <s v="2024-12-26"/>
    <x v="11"/>
    <x v="3"/>
    <x v="0"/>
    <n v="46"/>
    <n v="11408"/>
    <n v="4137"/>
    <x v="0"/>
    <n v="49"/>
    <n v="2"/>
    <n v="4.2"/>
    <n v="0.36264025245441794"/>
    <n v="248"/>
    <n v="15.333333333333334"/>
  </r>
  <r>
    <s v="2024-12-26"/>
    <x v="11"/>
    <x v="3"/>
    <x v="1"/>
    <n v="104"/>
    <n v="34320"/>
    <n v="9700"/>
    <x v="1"/>
    <n v="56"/>
    <n v="2"/>
    <n v="4.2"/>
    <n v="0.28263403263403264"/>
    <n v="330"/>
    <n v="10.4"/>
  </r>
  <r>
    <s v="2024-12-26"/>
    <x v="11"/>
    <x v="3"/>
    <x v="2"/>
    <n v="59"/>
    <n v="17818"/>
    <n v="5674"/>
    <x v="3"/>
    <n v="41"/>
    <n v="1"/>
    <n v="3.8"/>
    <n v="0.31844202491862161"/>
    <n v="302"/>
    <n v="14.75"/>
  </r>
  <r>
    <s v="2024-12-27"/>
    <x v="11"/>
    <x v="4"/>
    <x v="0"/>
    <n v="30"/>
    <n v="6390"/>
    <n v="2500"/>
    <x v="3"/>
    <n v="38"/>
    <n v="2"/>
    <n v="3.9"/>
    <n v="0.39123630672926446"/>
    <n v="213"/>
    <n v="7.5"/>
  </r>
  <r>
    <s v="2024-12-27"/>
    <x v="11"/>
    <x v="4"/>
    <x v="1"/>
    <n v="124"/>
    <n v="53940"/>
    <n v="21879"/>
    <x v="1"/>
    <n v="72"/>
    <n v="0"/>
    <n v="4.5"/>
    <n v="0.40561735261401555"/>
    <n v="435"/>
    <n v="12.4"/>
  </r>
  <r>
    <s v="2024-12-27"/>
    <x v="11"/>
    <x v="4"/>
    <x v="2"/>
    <n v="78"/>
    <n v="22776"/>
    <n v="8896"/>
    <x v="2"/>
    <n v="58"/>
    <n v="3"/>
    <n v="3.8"/>
    <n v="0.39058658236740429"/>
    <n v="292"/>
    <n v="11.142857142857142"/>
  </r>
  <r>
    <s v="2024-12-28"/>
    <x v="11"/>
    <x v="5"/>
    <x v="0"/>
    <n v="90"/>
    <n v="17190"/>
    <n v="6540"/>
    <x v="0"/>
    <n v="41"/>
    <n v="2"/>
    <n v="3.8"/>
    <n v="0.38045375218150085"/>
    <n v="191"/>
    <n v="30"/>
  </r>
  <r>
    <s v="2024-12-28"/>
    <x v="11"/>
    <x v="5"/>
    <x v="1"/>
    <n v="115"/>
    <n v="43930"/>
    <n v="12552"/>
    <x v="4"/>
    <n v="52"/>
    <n v="1"/>
    <n v="4.3"/>
    <n v="0.28572729342135217"/>
    <n v="382"/>
    <n v="19.166666666666668"/>
  </r>
  <r>
    <s v="2024-12-28"/>
    <x v="11"/>
    <x v="5"/>
    <x v="2"/>
    <n v="122"/>
    <n v="33794"/>
    <n v="12622"/>
    <x v="3"/>
    <n v="49"/>
    <n v="1"/>
    <n v="3.7"/>
    <n v="0.37349825412795173"/>
    <n v="277"/>
    <n v="30.5"/>
  </r>
  <r>
    <s v="2024-12-29"/>
    <x v="11"/>
    <x v="6"/>
    <x v="0"/>
    <n v="59"/>
    <n v="10915"/>
    <n v="3399"/>
    <x v="5"/>
    <n v="52"/>
    <n v="2"/>
    <n v="4"/>
    <n v="0.31140632157581311"/>
    <n v="185"/>
    <n v="11.8"/>
  </r>
  <r>
    <s v="2024-12-29"/>
    <x v="11"/>
    <x v="6"/>
    <x v="1"/>
    <n v="137"/>
    <n v="44114"/>
    <n v="12997"/>
    <x v="1"/>
    <n v="74"/>
    <n v="2"/>
    <n v="3.9"/>
    <n v="0.29462302216983272"/>
    <n v="322"/>
    <n v="13.7"/>
  </r>
  <r>
    <s v="2024-12-29"/>
    <x v="11"/>
    <x v="6"/>
    <x v="2"/>
    <n v="103"/>
    <n v="34814"/>
    <n v="11765"/>
    <x v="5"/>
    <n v="42"/>
    <n v="0"/>
    <n v="3.8"/>
    <n v="0.33793876026885733"/>
    <n v="338"/>
    <n v="20.6"/>
  </r>
  <r>
    <s v="2024-12-30"/>
    <x v="11"/>
    <x v="0"/>
    <x v="0"/>
    <n v="28"/>
    <n v="7420"/>
    <n v="2411"/>
    <x v="0"/>
    <n v="50"/>
    <n v="0"/>
    <n v="4.4000000000000004"/>
    <n v="0.32493261455525607"/>
    <n v="265"/>
    <n v="9.3333333333333339"/>
  </r>
  <r>
    <s v="2024-12-30"/>
    <x v="11"/>
    <x v="0"/>
    <x v="1"/>
    <n v="94"/>
    <n v="43428"/>
    <n v="13431"/>
    <x v="2"/>
    <n v="72"/>
    <n v="1"/>
    <n v="4.4000000000000004"/>
    <n v="0.30927051671732525"/>
    <n v="462"/>
    <n v="13.428571428571429"/>
  </r>
  <r>
    <s v="2024-12-30"/>
    <x v="11"/>
    <x v="0"/>
    <x v="2"/>
    <n v="30"/>
    <n v="6810"/>
    <n v="2826"/>
    <x v="4"/>
    <n v="42"/>
    <n v="1"/>
    <n v="4.2"/>
    <n v="0.41497797356828192"/>
    <n v="227"/>
    <n v="5"/>
  </r>
  <r>
    <s v="2024-12-31"/>
    <x v="11"/>
    <x v="1"/>
    <x v="0"/>
    <n v="37"/>
    <n v="9916"/>
    <n v="3324"/>
    <x v="0"/>
    <n v="54"/>
    <n v="1"/>
    <n v="4.2"/>
    <n v="0.33521581282775315"/>
    <n v="268"/>
    <n v="12.333333333333334"/>
  </r>
  <r>
    <s v="2024-12-31"/>
    <x v="11"/>
    <x v="1"/>
    <x v="1"/>
    <n v="110"/>
    <n v="48950"/>
    <n v="14805"/>
    <x v="4"/>
    <n v="62"/>
    <n v="4"/>
    <n v="3.9"/>
    <n v="0.3024514811031665"/>
    <n v="445"/>
    <n v="18.333333333333332"/>
  </r>
  <r>
    <s v="2024-12-31"/>
    <x v="11"/>
    <x v="1"/>
    <x v="2"/>
    <n v="33"/>
    <n v="8481"/>
    <n v="2583"/>
    <x v="4"/>
    <n v="40"/>
    <n v="1"/>
    <n v="4.5"/>
    <n v="0.30456314113901661"/>
    <n v="257"/>
    <n v="5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964A9-856A-43DF-8FCE-3892A2C855A0}" name="Employee Performace Score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22" firstHeaderRow="1" firstDataRow="1" firstDataCol="1"/>
  <pivotFields count="2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6">
    <i>
      <x v="4"/>
    </i>
    <i>
      <x v="9"/>
    </i>
    <i>
      <x v="2"/>
    </i>
    <i>
      <x v="6"/>
    </i>
    <i>
      <x v="3"/>
    </i>
    <i>
      <x v="11"/>
    </i>
    <i>
      <x v="5"/>
    </i>
    <i>
      <x v="14"/>
    </i>
    <i>
      <x v="13"/>
    </i>
    <i>
      <x v="1"/>
    </i>
    <i>
      <x v="8"/>
    </i>
    <i>
      <x v="12"/>
    </i>
    <i>
      <x/>
    </i>
    <i>
      <x v="10"/>
    </i>
    <i>
      <x v="7"/>
    </i>
    <i t="grand">
      <x/>
    </i>
  </rowItems>
  <colItems count="1">
    <i/>
  </colItems>
  <dataFields count="1">
    <dataField name="Sum of Performance_Score" fld="1" baseField="0" baseItem="0"/>
  </dataFields>
  <formats count="12"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0" type="button" dataOnly="0" labelOnly="1" outline="0" axis="axisRow" fieldPosition="0"/>
    </format>
    <format dxfId="194">
      <pivotArea dataOnly="0" labelOnly="1" fieldPosition="0">
        <references count="1">
          <reference field="0" count="0"/>
        </references>
      </pivotArea>
    </format>
    <format dxfId="193">
      <pivotArea dataOnly="0" labelOnly="1" grandRow="1" outline="0" fieldPosition="0"/>
    </format>
    <format dxfId="192">
      <pivotArea dataOnly="0" labelOnly="1" outline="0" axis="axisValues" fieldPosition="0"/>
    </format>
    <format dxfId="128">
      <pivotArea type="all" dataOnly="0" outline="0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taff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ff Performace!$A$1:$K$1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11A17-7AD3-4B90-AAD0-BE8E105C7FC9}" name="Sum of Revenue by Month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6:H19" firstHeaderRow="1" firstDataRow="1" firstDataCol="1"/>
  <pivotFields count="1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65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5" baseField="0" baseItem="0" numFmtId="167"/>
  </dataFields>
  <formats count="12"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1" type="button" dataOnly="0" labelOnly="1" outline="0" axis="axisRow" fieldPosition="0"/>
    </format>
    <format dxfId="187">
      <pivotArea dataOnly="0" labelOnly="1" fieldPosition="0">
        <references count="1">
          <reference field="1" count="0"/>
        </references>
      </pivotArea>
    </format>
    <format dxfId="186">
      <pivotArea dataOnly="0" labelOnly="1" grandRow="1" outline="0" fieldPosition="0"/>
    </format>
    <format dxfId="185">
      <pivotArea dataOnly="0" labelOnly="1" outline="0" axis="axisValues" fieldPosition="0"/>
    </format>
    <format dxfId="115">
      <pivotArea type="all" dataOnly="0" outline="0" fieldPosition="0"/>
    </format>
    <format dxfId="108">
      <pivotArea outline="0" collapsedLevelsAreSubtotals="1" fieldPosition="0"/>
    </format>
    <format dxfId="107">
      <pivotArea field="1" type="button" dataOnly="0" labelOnly="1" outline="0" axis="axisRow" fieldPosition="0"/>
    </format>
    <format dxfId="106">
      <pivotArea dataOnly="0" labelOnly="1" fieldPosition="0">
        <references count="1">
          <reference field="1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6F141-37FC-49D1-928D-8A35C8876504}" name="PivotTable3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C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taff" fld="0" subtotal="count" baseField="0" baseItem="0"/>
  </dataFields>
  <formats count="6">
    <format dxfId="183">
      <pivotArea type="all" dataOnly="0" outline="0" fieldPosition="0"/>
    </format>
    <format dxfId="182">
      <pivotArea outline="0" collapsedLevelsAreSubtotals="1" fieldPosition="0"/>
    </format>
    <format dxfId="181">
      <pivotArea dataOnly="0" labelOnly="1" outline="0" axis="axisValues" fieldPosition="0"/>
    </format>
    <format dxfId="102">
      <pivotArea type="all" dataOnly="0" outline="0" fieldPosition="0"/>
    </format>
    <format dxfId="98">
      <pivotArea outline="0" collapsedLevelsAreSubtotals="1" fieldPosition="0"/>
    </format>
    <format dxfId="97">
      <pivotArea dataOnly="0" labelOnly="1" outline="0" axis="axisValues" fieldPosition="0"/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taff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ff Performace!$A$1:$K$1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92E14-511E-485E-88C9-DFC7747B7203}" name="PivotTable3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2:B3" firstHeaderRow="0" firstDataRow="1" firstDataCol="0"/>
  <pivotFields count="14">
    <pivotField showAll="0"/>
    <pivotField showAll="0"/>
    <pivotField showAll="0"/>
    <pivotField dataFiel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65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overs" fld="3" subtotal="count" baseField="0" baseItem="1"/>
    <dataField name="Total Revenue" fld="5" baseField="0" baseItem="1"/>
  </dataFields>
  <formats count="6">
    <format dxfId="179">
      <pivotArea type="all" dataOnly="0" outline="0" fieldPosition="0"/>
    </format>
    <format dxfId="178">
      <pivotArea outline="0" collapsedLevelsAreSubtotals="1" fieldPosition="0"/>
    </format>
    <format dxfId="1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type="all" dataOnly="0" outline="0" fieldPosition="0"/>
    </format>
    <format dxfId="91">
      <pivotArea outline="0" collapsedLevelsAreSubtotals="1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24A70-1F12-47B3-B583-CA5F08B25FE6}" name="P6 Average Table time by Shift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B19" firstHeaderRow="1" firstDataRow="1" firstDataCol="1"/>
  <pivotFields count="14"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numFmtId="165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g_Table_Time_Min" fld="8" subtotal="average" baseField="0" baseItem="0"/>
  </dataFields>
  <formats count="14">
    <format dxfId="258">
      <pivotArea collapsedLevelsAreSubtotals="1" fieldPosition="0">
        <references count="1">
          <reference field="3" count="0"/>
        </references>
      </pivotArea>
    </format>
    <format dxfId="257">
      <pivotArea grandRow="1"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3" type="button" dataOnly="0" labelOnly="1" outline="0" axis="axisRow" fieldPosition="0"/>
    </format>
    <format dxfId="173">
      <pivotArea dataOnly="0" labelOnly="1" fieldPosition="0">
        <references count="1">
          <reference field="3" count="0"/>
        </references>
      </pivotArea>
    </format>
    <format dxfId="172">
      <pivotArea dataOnly="0" labelOnly="1" grandRow="1" outline="0" fieldPosition="0"/>
    </format>
    <format dxfId="171">
      <pivotArea dataOnly="0" labelOnly="1" outline="0" axis="axisValues" fieldPosition="0"/>
    </format>
    <format dxfId="89">
      <pivotArea type="all" dataOnly="0" outline="0" fieldPosition="0"/>
    </format>
    <format dxfId="82">
      <pivotArea outline="0" collapsedLevelsAreSubtotals="1" fieldPosition="0"/>
    </format>
    <format dxfId="81">
      <pivotArea field="3" type="button" dataOnly="0" labelOnly="1" outline="0" axis="axisRow" fieldPosition="0"/>
    </format>
    <format dxfId="80">
      <pivotArea dataOnly="0" labelOnly="1" fieldPosition="0">
        <references count="1">
          <reference field="3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31EC3-9065-45FD-9731-3D211310F20E}" name="P5 Average Food Cost percentage by Month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25:I38" firstHeaderRow="1" firstDataRow="1" firstDataCol="1"/>
  <pivotFields count="1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5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Food_Cost_%" fld="11" subtotal="average" baseField="0" baseItem="0" numFmtId="164"/>
  </dataFields>
  <formats count="12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1" type="button" dataOnly="0" labelOnly="1" outline="0" axis="axisRow" fieldPosition="0"/>
    </format>
    <format dxfId="166">
      <pivotArea dataOnly="0" labelOnly="1" fieldPosition="0">
        <references count="1">
          <reference field="1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76">
      <pivotArea type="all" dataOnly="0" outline="0" fieldPosition="0"/>
    </format>
    <format dxfId="69">
      <pivotArea outline="0" collapsedLevelsAreSubtotals="1" fieldPosition="0"/>
    </format>
    <format dxfId="68">
      <pivotArea field="1" type="button" dataOnly="0" labelOnly="1" outline="0" axis="axisRow" fieldPosition="0"/>
    </format>
    <format dxfId="67">
      <pivotArea dataOnly="0" labelOnly="1" fieldPosition="0">
        <references count="1">
          <reference field="1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027FA-47F8-4183-AA78-4BDD67F911E7}" name="P3 Total cover by month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3:F36" firstHeaderRow="1" firstDataRow="1" firstDataCol="1"/>
  <pivotFields count="1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vers" fld="4" baseField="0" baseItem="0" numFmtId="3"/>
  </dataFields>
  <formats count="14">
    <format dxfId="253">
      <pivotArea outline="0" collapsedLevelsAreSubtotals="1" fieldPosition="0"/>
    </format>
    <format dxfId="252">
      <pivotArea dataOnly="0" labelOnly="1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1" type="button" dataOnly="0" labelOnly="1" outline="0" axis="axisRow" fieldPosition="0"/>
    </format>
    <format dxfId="159">
      <pivotArea dataOnly="0" labelOnly="1" fieldPosition="0">
        <references count="1">
          <reference field="1" count="0"/>
        </references>
      </pivotArea>
    </format>
    <format dxfId="158">
      <pivotArea dataOnly="0" labelOnly="1" grandRow="1" outline="0" fieldPosition="0"/>
    </format>
    <format dxfId="157">
      <pivotArea dataOnly="0" labelOnly="1" outline="0" axis="axisValues" fieldPosition="0"/>
    </format>
    <format dxfId="63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250C2-0ABF-4E90-B848-04BE02D52261}" name="P1 Total Revenue by Month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0:B43" firstHeaderRow="1" firstDataRow="1" firstDataCol="1"/>
  <pivotFields count="1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65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5" baseField="0" baseItem="0" numFmtId="167"/>
  </dataFields>
  <formats count="12"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" type="button" dataOnly="0" labelOnly="1" outline="0" axis="axisRow" fieldPosition="0"/>
    </format>
    <format dxfId="152">
      <pivotArea dataOnly="0" labelOnly="1" fieldPosition="0">
        <references count="1">
          <reference field="1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  <format dxfId="50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32788-0EF0-4345-8CC0-32C394A41622}" name="Average Rating by Month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6:E19" firstHeaderRow="1" firstDataRow="1" firstDataCol="1"/>
  <pivotFields count="1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5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Guest_Rating" fld="10" subtotal="average" showDataAs="percentOfTotal" baseField="1" baseItem="0" numFmtId="10"/>
  </dataFields>
  <formats count="12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  <format dxfId="37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10BFF-7FE5-42E1-8F4E-344086232128}" name="Sum of covers and Revenue by Week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27" firstHeaderRow="0" firstDataRow="1" firstDataCol="1"/>
  <pivotFields count="14">
    <pivotField showAll="0"/>
    <pivotField showAll="0"/>
    <pivotField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  <pivotField showAll="0">
      <items count="9">
        <item x="0"/>
        <item x="3"/>
        <item x="5"/>
        <item x="4"/>
        <item x="2"/>
        <item x="7"/>
        <item x="6"/>
        <item x="1"/>
        <item t="default"/>
      </items>
    </pivotField>
    <pivotField showAll="0"/>
    <pivotField showAll="0"/>
    <pivotField showAll="0"/>
    <pivotField numFmtId="164" showAll="0"/>
    <pivotField numFmtId="165" showAll="0"/>
    <pivotField showAll="0"/>
  </pivotFields>
  <rowFields count="1">
    <field x="3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vers" fld="4" baseField="0" baseItem="0"/>
    <dataField name="Sum of Revenue" fld="5" baseField="0" baseItem="0" numFmtId="167"/>
  </dataFields>
  <formats count="13">
    <format dxfId="2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3" type="button" dataOnly="0" labelOnly="1" outline="0" axis="axisRow" fieldPosition="0"/>
    </format>
    <format dxfId="138">
      <pivotArea dataOnly="0" labelOnly="1" fieldPosition="0">
        <references count="1">
          <reference field="3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type="all" dataOnly="0" outline="0" fieldPosition="0"/>
    </format>
    <format dxfId="17">
      <pivotArea outline="0" collapsedLevelsAreSubtotals="1" fieldPosition="0"/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E9654-DD24-4BBD-888F-17BA56F39883}" name="P2 Total Revenue by Shift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:B10" firstHeaderRow="1" firstDataRow="1" firstDataCol="1"/>
  <pivotFields count="14"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65" showAll="0"/>
    <pivotField showAll="0"/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venue" fld="5" baseField="0" baseItem="0" numFmtId="167"/>
  </dataFields>
  <formats count="15">
    <format dxfId="256">
      <pivotArea collapsedLevelsAreSubtotals="1" fieldPosition="0">
        <references count="1">
          <reference field="3" count="1">
            <x v="2"/>
          </reference>
        </references>
      </pivotArea>
    </format>
    <format dxfId="255">
      <pivotArea outline="0" collapsedLevelsAreSubtotals="1" fieldPosition="0"/>
    </format>
    <format dxfId="254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3" type="button" dataOnly="0" labelOnly="1" outline="0" axis="axisRow" fieldPosition="0"/>
    </format>
    <format dxfId="132">
      <pivotArea dataOnly="0" labelOnly="1" fieldPosition="0">
        <references count="1">
          <reference field="3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FB4A19-7393-43FB-A7ED-B71F119F52BB}" name="Table1" displayName="Table1" ref="A1:K14" totalsRowCount="1" headerRowDxfId="259" dataDxfId="260" headerRowBorderDxfId="273" tableBorderDxfId="274" totalsRowBorderDxfId="272">
  <tableColumns count="11">
    <tableColumn id="1" xr3:uid="{8ED259AA-02F3-4B1C-9E06-84358E404261}" name="Month" dataDxfId="271" totalsRowDxfId="248"/>
    <tableColumn id="2" xr3:uid="{4CDCA26C-00CC-4A43-8A63-7D6B28BD2855}" name="Total_Covers" dataDxfId="270" totalsRowDxfId="247"/>
    <tableColumn id="3" xr3:uid="{3A065B1B-2D1B-4860-949D-27113D3E0FFA}" name="Total_Revenue" totalsRowFunction="custom" dataDxfId="269" totalsRowDxfId="246">
      <totalsRowFormula>SUM(C2:C13)</totalsRowFormula>
    </tableColumn>
    <tableColumn id="4" xr3:uid="{9F9D2EA8-EAF9-49B0-ACCF-649BE0758205}" name="Total_Food_Cost" totalsRowFunction="custom" dataDxfId="268" totalsRowDxfId="245">
      <totalsRowFormula>SUM(D2:D13)</totalsRowFormula>
    </tableColumn>
    <tableColumn id="5" xr3:uid="{395F0ED7-C226-4E31-8A44-ADCEF9895451}" name="Avg_Food_Cost_%" dataDxfId="267" totalsRowDxfId="244">
      <calculatedColumnFormula>D2/C2</calculatedColumnFormula>
    </tableColumn>
    <tableColumn id="6" xr3:uid="{795DB229-0EFD-4686-93F1-753933161F5B}" name="Avg_Guest_Rating" dataDxfId="266" totalsRowDxfId="243"/>
    <tableColumn id="7" xr3:uid="{BCA3AB9D-6056-4AE9-8811-13B809ED0A5D}" name="Total_Complaints" dataDxfId="265" totalsRowDxfId="242"/>
    <tableColumn id="8" xr3:uid="{C6353271-5DA4-443C-A7F1-DACE46D77DF5}" name="Avg_Revenue_Per_Cover" dataDxfId="264" totalsRowDxfId="241">
      <calculatedColumnFormula>C2/B2</calculatedColumnFormula>
    </tableColumn>
    <tableColumn id="9" xr3:uid="{66504C38-7AC4-4DFF-B1CA-2CFB44E117DE}" name="Best_Shift" dataDxfId="263" totalsRowDxfId="240"/>
    <tableColumn id="10" xr3:uid="{4D9F1EC0-8A4F-4E62-ABE4-F7C395E9D4C2}" name="Target_Revenue" totalsRowFunction="custom" dataDxfId="262" totalsRowDxfId="239">
      <totalsRowFormula>SUM(J2:J13)</totalsRowFormula>
    </tableColumn>
    <tableColumn id="11" xr3:uid="{B1F9FB97-77E0-4F7F-98DA-67DA568B60B5}" name="vs_Target_%" dataDxfId="261" totalsRowDxfId="238">
      <calculatedColumnFormula>C2/J2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16B-3818-40E2-A76F-43DA813BFDD2}">
  <dimension ref="A1:A2"/>
  <sheetViews>
    <sheetView tabSelected="1" zoomScale="55" zoomScaleNormal="55" workbookViewId="0">
      <selection activeCell="AE19" sqref="AE19"/>
    </sheetView>
  </sheetViews>
  <sheetFormatPr defaultRowHeight="15" x14ac:dyDescent="0.25"/>
  <cols>
    <col min="1" max="1" width="3.5703125" customWidth="1"/>
  </cols>
  <sheetData>
    <row r="1" ht="27" customHeight="1" x14ac:dyDescent="0.25"/>
    <row r="2" ht="24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8856-24B3-4F39-9378-F2E79DF043E8}">
  <dimension ref="A1:F8"/>
  <sheetViews>
    <sheetView workbookViewId="0">
      <selection activeCell="C4" sqref="C4"/>
    </sheetView>
  </sheetViews>
  <sheetFormatPr defaultColWidth="8.7109375" defaultRowHeight="15" x14ac:dyDescent="0.25"/>
  <cols>
    <col min="1" max="1" width="19.28515625" bestFit="1" customWidth="1"/>
    <col min="2" max="2" width="37.7109375" bestFit="1" customWidth="1"/>
    <col min="3" max="3" width="37.5703125" bestFit="1" customWidth="1"/>
    <col min="4" max="4" width="42.42578125" bestFit="1" customWidth="1"/>
  </cols>
  <sheetData>
    <row r="1" spans="1:6" ht="16.5" x14ac:dyDescent="0.25">
      <c r="A1" s="52" t="s">
        <v>523</v>
      </c>
      <c r="B1" s="52"/>
      <c r="C1" s="52"/>
      <c r="D1" s="52"/>
      <c r="E1" s="52"/>
    </row>
    <row r="2" spans="1:6" x14ac:dyDescent="0.25">
      <c r="A2" s="53" t="s">
        <v>524</v>
      </c>
      <c r="B2" s="53"/>
      <c r="C2" s="53"/>
      <c r="D2" s="53"/>
      <c r="E2" s="53"/>
    </row>
    <row r="3" spans="1:6" x14ac:dyDescent="0.25">
      <c r="A3" s="54" t="s">
        <v>525</v>
      </c>
      <c r="B3" s="54" t="s">
        <v>526</v>
      </c>
      <c r="C3" s="54" t="s">
        <v>527</v>
      </c>
      <c r="D3" s="54" t="s">
        <v>528</v>
      </c>
    </row>
    <row r="4" spans="1:6" ht="89.25" x14ac:dyDescent="0.25">
      <c r="A4" s="55" t="s">
        <v>529</v>
      </c>
      <c r="B4" s="56" t="s">
        <v>530</v>
      </c>
      <c r="C4" s="56" t="s">
        <v>531</v>
      </c>
      <c r="D4" s="57" t="s">
        <v>532</v>
      </c>
    </row>
    <row r="5" spans="1:6" ht="38.25" x14ac:dyDescent="0.25">
      <c r="A5" s="55" t="s">
        <v>533</v>
      </c>
      <c r="B5" s="58" t="s">
        <v>534</v>
      </c>
      <c r="C5" s="58" t="s">
        <v>535</v>
      </c>
      <c r="D5" s="57" t="s">
        <v>536</v>
      </c>
    </row>
    <row r="6" spans="1:6" ht="38.25" x14ac:dyDescent="0.25">
      <c r="A6" s="55" t="s">
        <v>537</v>
      </c>
      <c r="B6" s="56" t="s">
        <v>538</v>
      </c>
      <c r="C6" s="56" t="s">
        <v>539</v>
      </c>
      <c r="D6" s="57" t="s">
        <v>540</v>
      </c>
      <c r="F6" s="46"/>
    </row>
    <row r="7" spans="1:6" ht="76.5" x14ac:dyDescent="0.25">
      <c r="A7" s="55" t="s">
        <v>541</v>
      </c>
      <c r="B7" s="58" t="s">
        <v>542</v>
      </c>
      <c r="C7" s="58" t="s">
        <v>543</v>
      </c>
      <c r="D7" s="57" t="s">
        <v>544</v>
      </c>
      <c r="F7" s="59"/>
    </row>
    <row r="8" spans="1:6" ht="51" x14ac:dyDescent="0.25">
      <c r="A8" s="55" t="s">
        <v>545</v>
      </c>
      <c r="B8" s="56" t="s">
        <v>546</v>
      </c>
      <c r="C8" s="56" t="s">
        <v>547</v>
      </c>
      <c r="D8" s="57" t="s">
        <v>548</v>
      </c>
      <c r="F8" s="46"/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81CE-4FC3-40B5-9A57-08BF02A38C90}">
  <dimension ref="A1:K14"/>
  <sheetViews>
    <sheetView zoomScale="115" zoomScaleNormal="115" workbookViewId="0">
      <selection activeCell="J16" sqref="J16"/>
    </sheetView>
  </sheetViews>
  <sheetFormatPr defaultRowHeight="15" x14ac:dyDescent="0.25"/>
  <cols>
    <col min="1" max="1" width="10" bestFit="1" customWidth="1"/>
    <col min="2" max="2" width="16.85546875" customWidth="1"/>
    <col min="3" max="3" width="18.7109375" customWidth="1"/>
    <col min="4" max="4" width="20.42578125" customWidth="1"/>
    <col min="5" max="5" width="22.140625" customWidth="1"/>
    <col min="6" max="6" width="22" customWidth="1"/>
    <col min="7" max="7" width="20.7109375" customWidth="1"/>
    <col min="8" max="8" width="29.5703125" customWidth="1"/>
    <col min="9" max="9" width="13.7109375" customWidth="1"/>
    <col min="10" max="10" width="20.28515625" customWidth="1"/>
    <col min="11" max="11" width="16.42578125" customWidth="1"/>
  </cols>
  <sheetData>
    <row r="1" spans="1:11" x14ac:dyDescent="0.25">
      <c r="A1" s="37" t="s">
        <v>1</v>
      </c>
      <c r="B1" s="38" t="s">
        <v>445</v>
      </c>
      <c r="C1" s="38" t="s">
        <v>446</v>
      </c>
      <c r="D1" s="38" t="s">
        <v>447</v>
      </c>
      <c r="E1" s="38" t="s">
        <v>448</v>
      </c>
      <c r="F1" s="38" t="s">
        <v>408</v>
      </c>
      <c r="G1" s="38" t="s">
        <v>449</v>
      </c>
      <c r="H1" s="38" t="s">
        <v>450</v>
      </c>
      <c r="I1" s="38" t="s">
        <v>451</v>
      </c>
      <c r="J1" s="38" t="s">
        <v>452</v>
      </c>
      <c r="K1" s="39" t="s">
        <v>453</v>
      </c>
    </row>
    <row r="2" spans="1:11" x14ac:dyDescent="0.25">
      <c r="A2" s="33" t="s">
        <v>15</v>
      </c>
      <c r="B2" s="8">
        <v>3200</v>
      </c>
      <c r="C2" s="8">
        <v>1950000</v>
      </c>
      <c r="D2" s="8">
        <v>720000</v>
      </c>
      <c r="E2" s="10">
        <f t="shared" ref="E2:E13" si="0">D2/C2</f>
        <v>0.36923076923076925</v>
      </c>
      <c r="F2" s="8">
        <v>4.0999999999999996</v>
      </c>
      <c r="G2" s="8">
        <v>45</v>
      </c>
      <c r="H2" s="11">
        <f t="shared" ref="H2:H13" si="1">C2/B2</f>
        <v>609.375</v>
      </c>
      <c r="I2" s="8" t="s">
        <v>18</v>
      </c>
      <c r="J2" s="8">
        <v>1800000</v>
      </c>
      <c r="K2" s="35">
        <f t="shared" ref="K2:K13" si="2">C2/J2</f>
        <v>1.0833333333333333</v>
      </c>
    </row>
    <row r="3" spans="1:11" x14ac:dyDescent="0.25">
      <c r="A3" s="34" t="s">
        <v>57</v>
      </c>
      <c r="B3" s="9">
        <v>2900</v>
      </c>
      <c r="C3" s="9">
        <v>1780000</v>
      </c>
      <c r="D3" s="9">
        <v>668000</v>
      </c>
      <c r="E3" s="12">
        <f t="shared" si="0"/>
        <v>0.37528089887640448</v>
      </c>
      <c r="F3" s="9">
        <v>4</v>
      </c>
      <c r="G3" s="9">
        <v>38</v>
      </c>
      <c r="H3" s="13">
        <f t="shared" si="1"/>
        <v>613.79310344827582</v>
      </c>
      <c r="I3" s="9" t="s">
        <v>18</v>
      </c>
      <c r="J3" s="9">
        <v>1700000</v>
      </c>
      <c r="K3" s="36">
        <f t="shared" si="2"/>
        <v>1.0470588235294118</v>
      </c>
    </row>
    <row r="4" spans="1:11" x14ac:dyDescent="0.25">
      <c r="A4" s="33" t="s">
        <v>87</v>
      </c>
      <c r="B4" s="8">
        <v>3400</v>
      </c>
      <c r="C4" s="8">
        <v>2050000</v>
      </c>
      <c r="D4" s="8">
        <v>738000</v>
      </c>
      <c r="E4" s="10">
        <f t="shared" si="0"/>
        <v>0.36</v>
      </c>
      <c r="F4" s="8">
        <v>4.2</v>
      </c>
      <c r="G4" s="8">
        <v>42</v>
      </c>
      <c r="H4" s="11">
        <f t="shared" si="1"/>
        <v>602.94117647058829</v>
      </c>
      <c r="I4" s="8" t="s">
        <v>18</v>
      </c>
      <c r="J4" s="8">
        <v>2000000</v>
      </c>
      <c r="K4" s="35">
        <f t="shared" si="2"/>
        <v>1.0249999999999999</v>
      </c>
    </row>
    <row r="5" spans="1:11" x14ac:dyDescent="0.25">
      <c r="A5" s="34" t="s">
        <v>119</v>
      </c>
      <c r="B5" s="9">
        <v>3500</v>
      </c>
      <c r="C5" s="9">
        <v>2150000</v>
      </c>
      <c r="D5" s="9">
        <v>763000</v>
      </c>
      <c r="E5" s="12">
        <f t="shared" si="0"/>
        <v>0.35488372093023257</v>
      </c>
      <c r="F5" s="9">
        <v>4.2</v>
      </c>
      <c r="G5" s="9">
        <v>40</v>
      </c>
      <c r="H5" s="13">
        <f t="shared" si="1"/>
        <v>614.28571428571433</v>
      </c>
      <c r="I5" s="9" t="s">
        <v>18</v>
      </c>
      <c r="J5" s="9">
        <v>2100000</v>
      </c>
      <c r="K5" s="36">
        <f t="shared" si="2"/>
        <v>1.0238095238095237</v>
      </c>
    </row>
    <row r="6" spans="1:11" x14ac:dyDescent="0.25">
      <c r="A6" s="33" t="s">
        <v>150</v>
      </c>
      <c r="B6" s="8">
        <v>3600</v>
      </c>
      <c r="C6" s="8">
        <v>2200000</v>
      </c>
      <c r="D6" s="8">
        <v>792000</v>
      </c>
      <c r="E6" s="10">
        <f t="shared" si="0"/>
        <v>0.36</v>
      </c>
      <c r="F6" s="8">
        <v>4.3</v>
      </c>
      <c r="G6" s="8">
        <v>35</v>
      </c>
      <c r="H6" s="11">
        <f t="shared" si="1"/>
        <v>611.11111111111109</v>
      </c>
      <c r="I6" s="8" t="s">
        <v>18</v>
      </c>
      <c r="J6" s="8">
        <v>2200000</v>
      </c>
      <c r="K6" s="35">
        <f t="shared" si="2"/>
        <v>1</v>
      </c>
    </row>
    <row r="7" spans="1:11" x14ac:dyDescent="0.25">
      <c r="A7" s="34" t="s">
        <v>182</v>
      </c>
      <c r="B7" s="9">
        <v>3000</v>
      </c>
      <c r="C7" s="9">
        <v>1900000</v>
      </c>
      <c r="D7" s="9">
        <v>703000</v>
      </c>
      <c r="E7" s="12">
        <f t="shared" si="0"/>
        <v>0.37</v>
      </c>
      <c r="F7" s="9">
        <v>4.0999999999999996</v>
      </c>
      <c r="G7" s="9">
        <v>48</v>
      </c>
      <c r="H7" s="13">
        <f t="shared" si="1"/>
        <v>633.33333333333337</v>
      </c>
      <c r="I7" s="9" t="s">
        <v>18</v>
      </c>
      <c r="J7" s="9">
        <v>1900000</v>
      </c>
      <c r="K7" s="36">
        <f t="shared" si="2"/>
        <v>1</v>
      </c>
    </row>
    <row r="8" spans="1:11" x14ac:dyDescent="0.25">
      <c r="A8" s="33" t="s">
        <v>213</v>
      </c>
      <c r="B8" s="8">
        <v>2900</v>
      </c>
      <c r="C8" s="8">
        <v>1820000</v>
      </c>
      <c r="D8" s="8">
        <v>692000</v>
      </c>
      <c r="E8" s="10">
        <f t="shared" si="0"/>
        <v>0.3802197802197802</v>
      </c>
      <c r="F8" s="8">
        <v>4</v>
      </c>
      <c r="G8" s="8">
        <v>52</v>
      </c>
      <c r="H8" s="11">
        <f t="shared" si="1"/>
        <v>627.58620689655174</v>
      </c>
      <c r="I8" s="8" t="s">
        <v>18</v>
      </c>
      <c r="J8" s="8">
        <v>1800000</v>
      </c>
      <c r="K8" s="35">
        <f t="shared" si="2"/>
        <v>1.0111111111111111</v>
      </c>
    </row>
    <row r="9" spans="1:11" x14ac:dyDescent="0.25">
      <c r="A9" s="34" t="s">
        <v>245</v>
      </c>
      <c r="B9" s="9">
        <v>3100</v>
      </c>
      <c r="C9" s="9">
        <v>1980000</v>
      </c>
      <c r="D9" s="9">
        <v>732000</v>
      </c>
      <c r="E9" s="12">
        <f t="shared" si="0"/>
        <v>0.36969696969696969</v>
      </c>
      <c r="F9" s="9">
        <v>4.0999999999999996</v>
      </c>
      <c r="G9" s="9">
        <v>44</v>
      </c>
      <c r="H9" s="13">
        <f t="shared" si="1"/>
        <v>638.70967741935488</v>
      </c>
      <c r="I9" s="9" t="s">
        <v>18</v>
      </c>
      <c r="J9" s="9">
        <v>2000000</v>
      </c>
      <c r="K9" s="36">
        <f t="shared" si="2"/>
        <v>0.99</v>
      </c>
    </row>
    <row r="10" spans="1:11" x14ac:dyDescent="0.25">
      <c r="A10" s="33" t="s">
        <v>277</v>
      </c>
      <c r="B10" s="8">
        <v>3300</v>
      </c>
      <c r="C10" s="8">
        <v>2080000</v>
      </c>
      <c r="D10" s="8">
        <v>748000</v>
      </c>
      <c r="E10" s="10">
        <f t="shared" si="0"/>
        <v>0.35961538461538461</v>
      </c>
      <c r="F10" s="8">
        <v>4.2</v>
      </c>
      <c r="G10" s="8">
        <v>39</v>
      </c>
      <c r="H10" s="11">
        <f t="shared" si="1"/>
        <v>630.30303030303025</v>
      </c>
      <c r="I10" s="8" t="s">
        <v>18</v>
      </c>
      <c r="J10" s="8">
        <v>2100000</v>
      </c>
      <c r="K10" s="35">
        <f t="shared" si="2"/>
        <v>0.99047619047619051</v>
      </c>
    </row>
    <row r="11" spans="1:11" x14ac:dyDescent="0.25">
      <c r="A11" s="34" t="s">
        <v>308</v>
      </c>
      <c r="B11" s="9">
        <v>3500</v>
      </c>
      <c r="C11" s="9">
        <v>2180000</v>
      </c>
      <c r="D11" s="9">
        <v>763000</v>
      </c>
      <c r="E11" s="12">
        <f t="shared" si="0"/>
        <v>0.35</v>
      </c>
      <c r="F11" s="9">
        <v>4.3</v>
      </c>
      <c r="G11" s="9">
        <v>36</v>
      </c>
      <c r="H11" s="13">
        <f t="shared" si="1"/>
        <v>622.85714285714289</v>
      </c>
      <c r="I11" s="9" t="s">
        <v>18</v>
      </c>
      <c r="J11" s="9">
        <v>2200000</v>
      </c>
      <c r="K11" s="36">
        <f t="shared" si="2"/>
        <v>0.99090909090909096</v>
      </c>
    </row>
    <row r="12" spans="1:11" x14ac:dyDescent="0.25">
      <c r="A12" s="33" t="s">
        <v>340</v>
      </c>
      <c r="B12" s="8">
        <v>3900</v>
      </c>
      <c r="C12" s="8">
        <v>2480000</v>
      </c>
      <c r="D12" s="8">
        <v>868000</v>
      </c>
      <c r="E12" s="10">
        <f t="shared" si="0"/>
        <v>0.35</v>
      </c>
      <c r="F12" s="8">
        <v>4.4000000000000004</v>
      </c>
      <c r="G12" s="8">
        <v>30</v>
      </c>
      <c r="H12" s="11">
        <f t="shared" si="1"/>
        <v>635.89743589743591</v>
      </c>
      <c r="I12" s="8" t="s">
        <v>18</v>
      </c>
      <c r="J12" s="8">
        <v>2500000</v>
      </c>
      <c r="K12" s="35">
        <f t="shared" si="2"/>
        <v>0.99199999999999999</v>
      </c>
    </row>
    <row r="13" spans="1:11" x14ac:dyDescent="0.25">
      <c r="A13" s="40" t="s">
        <v>371</v>
      </c>
      <c r="B13" s="41">
        <v>4200</v>
      </c>
      <c r="C13" s="41">
        <v>2750000</v>
      </c>
      <c r="D13" s="41">
        <v>962500</v>
      </c>
      <c r="E13" s="42">
        <f t="shared" si="0"/>
        <v>0.35</v>
      </c>
      <c r="F13" s="41">
        <v>4.5</v>
      </c>
      <c r="G13" s="41">
        <v>25</v>
      </c>
      <c r="H13" s="43">
        <f t="shared" si="1"/>
        <v>654.76190476190482</v>
      </c>
      <c r="I13" s="41" t="s">
        <v>18</v>
      </c>
      <c r="J13" s="41">
        <v>2800000</v>
      </c>
      <c r="K13" s="44">
        <f t="shared" si="2"/>
        <v>0.9821428571428571</v>
      </c>
    </row>
    <row r="14" spans="1:11" x14ac:dyDescent="0.25">
      <c r="A14" s="47"/>
      <c r="B14" s="48"/>
      <c r="C14" s="48">
        <f>SUM(C2:C13)</f>
        <v>25320000</v>
      </c>
      <c r="D14" s="48">
        <f>SUM(D2:D13)</f>
        <v>9149500</v>
      </c>
      <c r="E14" s="49"/>
      <c r="F14" s="48"/>
      <c r="G14" s="48"/>
      <c r="H14" s="50"/>
      <c r="I14" s="48"/>
      <c r="J14" s="48">
        <f>SUM(J2:J13)</f>
        <v>25100000</v>
      </c>
      <c r="K14" s="51"/>
    </row>
  </sheetData>
  <conditionalFormatting sqref="E2:E1048576">
    <cfRule type="cellIs" dxfId="222" priority="2" operator="greaterThan">
      <formula>0.38</formula>
    </cfRule>
    <cfRule type="cellIs" dxfId="221" priority="3" operator="between">
      <formula>0.33</formula>
      <formula>0.39</formula>
    </cfRule>
    <cfRule type="cellIs" dxfId="220" priority="4" operator="lessThan">
      <formula>35%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059C-83F7-4BF7-A97C-2767FF5A2A52}">
  <dimension ref="A1:R1099"/>
  <sheetViews>
    <sheetView topLeftCell="D1" workbookViewId="0">
      <selection activeCell="K17" sqref="K17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4.7109375" bestFit="1" customWidth="1"/>
    <col min="4" max="4" width="7.28515625" bestFit="1" customWidth="1"/>
    <col min="5" max="5" width="8.42578125" bestFit="1" customWidth="1"/>
    <col min="6" max="6" width="10.28515625" bestFit="1" customWidth="1"/>
    <col min="7" max="7" width="12" bestFit="1" customWidth="1"/>
    <col min="8" max="8" width="13.140625" bestFit="1" customWidth="1"/>
    <col min="9" max="9" width="23.140625" bestFit="1" customWidth="1"/>
    <col min="10" max="10" width="12.28515625" bestFit="1" customWidth="1"/>
    <col min="11" max="11" width="15" bestFit="1" customWidth="1"/>
    <col min="12" max="12" width="15.140625" bestFit="1" customWidth="1"/>
    <col min="13" max="13" width="22.85546875" bestFit="1" customWidth="1"/>
    <col min="14" max="14" width="16.85546875" bestFit="1" customWidth="1"/>
    <col min="15" max="15" width="20.7109375" bestFit="1" customWidth="1"/>
    <col min="16" max="16" width="20.7109375" customWidth="1"/>
    <col min="17" max="17" width="28" bestFit="1" customWidth="1"/>
    <col min="18" max="18" width="31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9" t="s">
        <v>514</v>
      </c>
      <c r="P1" s="29" t="s">
        <v>513</v>
      </c>
      <c r="Q1" s="29" t="s">
        <v>509</v>
      </c>
      <c r="R1" s="29" t="s">
        <v>549</v>
      </c>
    </row>
    <row r="2" spans="1:18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28</v>
      </c>
      <c r="F2" s="2">
        <v>6188</v>
      </c>
      <c r="G2" s="2">
        <v>1903</v>
      </c>
      <c r="H2" s="2">
        <v>3</v>
      </c>
      <c r="I2" s="2">
        <v>38</v>
      </c>
      <c r="J2" s="2">
        <v>1</v>
      </c>
      <c r="K2" s="2">
        <v>4.0999999999999996</v>
      </c>
      <c r="L2" s="3">
        <f t="shared" ref="L2:L65" si="0">G2/F2</f>
        <v>0.30753070458952814</v>
      </c>
      <c r="M2" s="4">
        <f t="shared" ref="M2:M65" si="1">F2/E2</f>
        <v>221</v>
      </c>
      <c r="N2" s="2">
        <f t="shared" ref="N2:N65" si="2">E2/H2</f>
        <v>9.3333333333333339</v>
      </c>
      <c r="O2" s="30" t="s">
        <v>17</v>
      </c>
      <c r="P2" s="31">
        <f>AVERAGEIF(D2:D1099,D2,L2:L1099)</f>
        <v>0.3465829631385155</v>
      </c>
      <c r="Q2" s="32" t="str">
        <f>IF(P2&lt;=35%,"Healthy",IF(P2&lt;40%,"Warning","Critical"))</f>
        <v>Healthy</v>
      </c>
      <c r="R2" s="45">
        <f>AVERAGEIF(D2:D1099,D1097,F2:F1099)</f>
        <v>9091.5382513661207</v>
      </c>
    </row>
    <row r="3" spans="1:18" x14ac:dyDescent="0.25">
      <c r="A3" s="5" t="s">
        <v>14</v>
      </c>
      <c r="B3" s="5" t="s">
        <v>15</v>
      </c>
      <c r="C3" s="5" t="s">
        <v>16</v>
      </c>
      <c r="D3" s="5" t="s">
        <v>18</v>
      </c>
      <c r="E3" s="5">
        <v>105</v>
      </c>
      <c r="F3" s="5">
        <v>45780</v>
      </c>
      <c r="G3" s="5">
        <v>14342</v>
      </c>
      <c r="H3" s="5">
        <v>10</v>
      </c>
      <c r="I3" s="5">
        <v>65</v>
      </c>
      <c r="J3" s="5">
        <v>4</v>
      </c>
      <c r="K3" s="5">
        <v>3.5</v>
      </c>
      <c r="L3" s="6">
        <f t="shared" si="0"/>
        <v>0.31328090869375275</v>
      </c>
      <c r="M3" s="7">
        <f t="shared" si="1"/>
        <v>436</v>
      </c>
      <c r="N3" s="5">
        <f t="shared" si="2"/>
        <v>10.5</v>
      </c>
      <c r="O3" s="30" t="s">
        <v>18</v>
      </c>
      <c r="P3" s="31">
        <f>AVERAGEIF(D4:D1101,D6,L2:L1101)</f>
        <v>0.35168881851922851</v>
      </c>
      <c r="Q3" s="32" t="str">
        <f>IF(P3&lt;=35%,"Healthy",IF(P3&lt;40%,"Warning","Critical"))</f>
        <v>Warning</v>
      </c>
      <c r="R3" s="45">
        <f>AVERAGEIF(D2:D1099,D1083,F2:F1099)</f>
        <v>40680.401639344265</v>
      </c>
    </row>
    <row r="4" spans="1:18" x14ac:dyDescent="0.25">
      <c r="A4" s="2" t="s">
        <v>14</v>
      </c>
      <c r="B4" s="2" t="s">
        <v>15</v>
      </c>
      <c r="C4" s="2" t="s">
        <v>16</v>
      </c>
      <c r="D4" s="2" t="s">
        <v>19</v>
      </c>
      <c r="E4" s="2">
        <v>37</v>
      </c>
      <c r="F4" s="2">
        <v>7659</v>
      </c>
      <c r="G4" s="2">
        <v>3040</v>
      </c>
      <c r="H4" s="2">
        <v>7</v>
      </c>
      <c r="I4" s="2">
        <v>45</v>
      </c>
      <c r="J4" s="2">
        <v>1</v>
      </c>
      <c r="K4" s="2">
        <v>4.0999999999999996</v>
      </c>
      <c r="L4" s="3">
        <f t="shared" si="0"/>
        <v>0.39691865778822299</v>
      </c>
      <c r="M4" s="4">
        <f t="shared" si="1"/>
        <v>207</v>
      </c>
      <c r="N4" s="2">
        <f t="shared" si="2"/>
        <v>5.2857142857142856</v>
      </c>
      <c r="O4" s="30" t="s">
        <v>19</v>
      </c>
      <c r="P4" s="31">
        <f>AVERAGEIF(D7:D1104,D4,L2:L1104)</f>
        <v>0.34661410601607923</v>
      </c>
      <c r="Q4" s="32" t="str">
        <f>IF(P4&lt;=35%,"Healthy",IF(P4&lt;40%,"Warning","Critical"))</f>
        <v>Healthy</v>
      </c>
      <c r="R4" s="45">
        <f>AVERAGEIF(D2:D1099,D1090,F2:F1099)</f>
        <v>15177.459016393443</v>
      </c>
    </row>
    <row r="5" spans="1:18" x14ac:dyDescent="0.25">
      <c r="A5" s="5" t="s">
        <v>20</v>
      </c>
      <c r="B5" s="5" t="s">
        <v>15</v>
      </c>
      <c r="C5" s="5" t="s">
        <v>21</v>
      </c>
      <c r="D5" s="5" t="s">
        <v>17</v>
      </c>
      <c r="E5" s="5">
        <v>37</v>
      </c>
      <c r="F5" s="5">
        <v>7511</v>
      </c>
      <c r="G5" s="5">
        <v>2451</v>
      </c>
      <c r="H5" s="5">
        <v>3</v>
      </c>
      <c r="I5" s="5">
        <v>37</v>
      </c>
      <c r="J5" s="5">
        <v>2</v>
      </c>
      <c r="K5" s="5">
        <v>4.3</v>
      </c>
      <c r="L5" s="6">
        <f t="shared" si="0"/>
        <v>0.32632139528691251</v>
      </c>
      <c r="M5" s="7">
        <f t="shared" si="1"/>
        <v>203</v>
      </c>
      <c r="N5" s="5">
        <f t="shared" si="2"/>
        <v>12.333333333333334</v>
      </c>
    </row>
    <row r="6" spans="1:18" x14ac:dyDescent="0.25">
      <c r="A6" s="2" t="s">
        <v>20</v>
      </c>
      <c r="B6" s="2" t="s">
        <v>15</v>
      </c>
      <c r="C6" s="2" t="s">
        <v>21</v>
      </c>
      <c r="D6" s="2" t="s">
        <v>18</v>
      </c>
      <c r="E6" s="2">
        <v>110</v>
      </c>
      <c r="F6" s="2">
        <v>44000</v>
      </c>
      <c r="G6" s="2">
        <v>13582</v>
      </c>
      <c r="H6" s="2">
        <v>7</v>
      </c>
      <c r="I6" s="2">
        <v>47</v>
      </c>
      <c r="J6" s="2">
        <v>0</v>
      </c>
      <c r="K6" s="2">
        <v>4.5999999999999996</v>
      </c>
      <c r="L6" s="3">
        <f t="shared" si="0"/>
        <v>0.30868181818181817</v>
      </c>
      <c r="M6" s="4">
        <f t="shared" si="1"/>
        <v>400</v>
      </c>
      <c r="N6" s="2">
        <f t="shared" si="2"/>
        <v>15.714285714285714</v>
      </c>
      <c r="P6" s="30"/>
    </row>
    <row r="7" spans="1:18" x14ac:dyDescent="0.25">
      <c r="A7" s="5" t="s">
        <v>20</v>
      </c>
      <c r="B7" s="5" t="s">
        <v>15</v>
      </c>
      <c r="C7" s="5" t="s">
        <v>21</v>
      </c>
      <c r="D7" s="5" t="s">
        <v>19</v>
      </c>
      <c r="E7" s="5">
        <v>63</v>
      </c>
      <c r="F7" s="5">
        <v>21609</v>
      </c>
      <c r="G7" s="5">
        <v>8776</v>
      </c>
      <c r="H7" s="5">
        <v>4</v>
      </c>
      <c r="I7" s="5">
        <v>43</v>
      </c>
      <c r="J7" s="5">
        <v>1</v>
      </c>
      <c r="K7" s="5">
        <v>4.3</v>
      </c>
      <c r="L7" s="6">
        <f t="shared" si="0"/>
        <v>0.40612707668101256</v>
      </c>
      <c r="M7" s="7">
        <f t="shared" si="1"/>
        <v>343</v>
      </c>
      <c r="N7" s="5">
        <f t="shared" si="2"/>
        <v>15.75</v>
      </c>
      <c r="P7" s="31"/>
    </row>
    <row r="8" spans="1:18" x14ac:dyDescent="0.25">
      <c r="A8" s="2" t="s">
        <v>22</v>
      </c>
      <c r="B8" s="2" t="s">
        <v>15</v>
      </c>
      <c r="C8" s="2" t="s">
        <v>23</v>
      </c>
      <c r="D8" s="2" t="s">
        <v>17</v>
      </c>
      <c r="E8" s="2">
        <v>23</v>
      </c>
      <c r="F8" s="2">
        <v>4416</v>
      </c>
      <c r="G8" s="2">
        <v>1593</v>
      </c>
      <c r="H8" s="2">
        <v>3</v>
      </c>
      <c r="I8" s="2">
        <v>52</v>
      </c>
      <c r="J8" s="2">
        <v>0</v>
      </c>
      <c r="K8" s="2">
        <v>4</v>
      </c>
      <c r="L8" s="3">
        <f t="shared" si="0"/>
        <v>0.36073369565217389</v>
      </c>
      <c r="M8" s="4">
        <f t="shared" si="1"/>
        <v>192</v>
      </c>
      <c r="N8" s="2">
        <f t="shared" si="2"/>
        <v>7.666666666666667</v>
      </c>
    </row>
    <row r="9" spans="1:18" x14ac:dyDescent="0.25">
      <c r="A9" s="5" t="s">
        <v>22</v>
      </c>
      <c r="B9" s="5" t="s">
        <v>15</v>
      </c>
      <c r="C9" s="5" t="s">
        <v>23</v>
      </c>
      <c r="D9" s="5" t="s">
        <v>18</v>
      </c>
      <c r="E9" s="5">
        <v>128</v>
      </c>
      <c r="F9" s="5">
        <v>61184</v>
      </c>
      <c r="G9" s="5">
        <v>25009</v>
      </c>
      <c r="H9" s="5">
        <v>6</v>
      </c>
      <c r="I9" s="5">
        <v>56</v>
      </c>
      <c r="J9" s="5">
        <v>4</v>
      </c>
      <c r="K9" s="5">
        <v>3.6</v>
      </c>
      <c r="L9" s="6">
        <f t="shared" si="0"/>
        <v>0.40875065376569036</v>
      </c>
      <c r="M9" s="7">
        <f t="shared" si="1"/>
        <v>478</v>
      </c>
      <c r="N9" s="5">
        <f t="shared" si="2"/>
        <v>21.333333333333332</v>
      </c>
    </row>
    <row r="10" spans="1:18" x14ac:dyDescent="0.25">
      <c r="A10" s="2" t="s">
        <v>22</v>
      </c>
      <c r="B10" s="2" t="s">
        <v>15</v>
      </c>
      <c r="C10" s="2" t="s">
        <v>23</v>
      </c>
      <c r="D10" s="2" t="s">
        <v>19</v>
      </c>
      <c r="E10" s="2">
        <v>72</v>
      </c>
      <c r="F10" s="2">
        <v>21816</v>
      </c>
      <c r="G10" s="2">
        <v>8402</v>
      </c>
      <c r="H10" s="2">
        <v>5</v>
      </c>
      <c r="I10" s="2">
        <v>47</v>
      </c>
      <c r="J10" s="2">
        <v>3</v>
      </c>
      <c r="K10" s="2">
        <v>4</v>
      </c>
      <c r="L10" s="3">
        <f t="shared" si="0"/>
        <v>0.38513017968463514</v>
      </c>
      <c r="M10" s="4">
        <f t="shared" si="1"/>
        <v>303</v>
      </c>
      <c r="N10" s="2">
        <f t="shared" si="2"/>
        <v>14.4</v>
      </c>
    </row>
    <row r="11" spans="1:18" x14ac:dyDescent="0.25">
      <c r="A11" s="5" t="s">
        <v>24</v>
      </c>
      <c r="B11" s="5" t="s">
        <v>15</v>
      </c>
      <c r="C11" s="5" t="s">
        <v>25</v>
      </c>
      <c r="D11" s="5" t="s">
        <v>17</v>
      </c>
      <c r="E11" s="5">
        <v>27</v>
      </c>
      <c r="F11" s="5">
        <v>7506</v>
      </c>
      <c r="G11" s="5">
        <v>2946</v>
      </c>
      <c r="H11" s="5">
        <v>3</v>
      </c>
      <c r="I11" s="5">
        <v>36</v>
      </c>
      <c r="J11" s="5">
        <v>0</v>
      </c>
      <c r="K11" s="5">
        <v>4.0999999999999996</v>
      </c>
      <c r="L11" s="6">
        <f t="shared" si="0"/>
        <v>0.39248601119104715</v>
      </c>
      <c r="M11" s="7">
        <f t="shared" si="1"/>
        <v>278</v>
      </c>
      <c r="N11" s="5">
        <f t="shared" si="2"/>
        <v>9</v>
      </c>
    </row>
    <row r="12" spans="1:18" x14ac:dyDescent="0.25">
      <c r="A12" s="2" t="s">
        <v>24</v>
      </c>
      <c r="B12" s="2" t="s">
        <v>15</v>
      </c>
      <c r="C12" s="2" t="s">
        <v>25</v>
      </c>
      <c r="D12" s="2" t="s">
        <v>18</v>
      </c>
      <c r="E12" s="2">
        <v>63</v>
      </c>
      <c r="F12" s="2">
        <v>29610</v>
      </c>
      <c r="G12" s="2">
        <v>9775</v>
      </c>
      <c r="H12" s="2">
        <v>9</v>
      </c>
      <c r="I12" s="2">
        <v>48</v>
      </c>
      <c r="J12" s="2">
        <v>2</v>
      </c>
      <c r="K12" s="2">
        <v>4.8</v>
      </c>
      <c r="L12" s="3">
        <f t="shared" si="0"/>
        <v>0.33012495778453227</v>
      </c>
      <c r="M12" s="4">
        <f t="shared" si="1"/>
        <v>470</v>
      </c>
      <c r="N12" s="2">
        <f t="shared" si="2"/>
        <v>7</v>
      </c>
    </row>
    <row r="13" spans="1:18" x14ac:dyDescent="0.25">
      <c r="A13" s="5" t="s">
        <v>24</v>
      </c>
      <c r="B13" s="5" t="s">
        <v>15</v>
      </c>
      <c r="C13" s="5" t="s">
        <v>25</v>
      </c>
      <c r="D13" s="5" t="s">
        <v>19</v>
      </c>
      <c r="E13" s="5">
        <v>64</v>
      </c>
      <c r="F13" s="5">
        <v>20800</v>
      </c>
      <c r="G13" s="5">
        <v>5986</v>
      </c>
      <c r="H13" s="5">
        <v>7</v>
      </c>
      <c r="I13" s="5">
        <v>62</v>
      </c>
      <c r="J13" s="5">
        <v>0</v>
      </c>
      <c r="K13" s="5">
        <v>3.7</v>
      </c>
      <c r="L13" s="6">
        <f t="shared" si="0"/>
        <v>0.28778846153846155</v>
      </c>
      <c r="M13" s="7">
        <f t="shared" si="1"/>
        <v>325</v>
      </c>
      <c r="N13" s="5">
        <f t="shared" si="2"/>
        <v>9.1428571428571423</v>
      </c>
    </row>
    <row r="14" spans="1:18" x14ac:dyDescent="0.25">
      <c r="A14" s="2" t="s">
        <v>26</v>
      </c>
      <c r="B14" s="2" t="s">
        <v>15</v>
      </c>
      <c r="C14" s="2" t="s">
        <v>27</v>
      </c>
      <c r="D14" s="2" t="s">
        <v>17</v>
      </c>
      <c r="E14" s="2">
        <v>73</v>
      </c>
      <c r="F14" s="2">
        <v>13943</v>
      </c>
      <c r="G14" s="2">
        <v>3937</v>
      </c>
      <c r="H14" s="2">
        <v>4</v>
      </c>
      <c r="I14" s="2">
        <v>46</v>
      </c>
      <c r="J14" s="2">
        <v>1</v>
      </c>
      <c r="K14" s="2">
        <v>4.2</v>
      </c>
      <c r="L14" s="3">
        <f t="shared" si="0"/>
        <v>0.28236391020583806</v>
      </c>
      <c r="M14" s="4">
        <f t="shared" si="1"/>
        <v>191</v>
      </c>
      <c r="N14" s="2">
        <f t="shared" si="2"/>
        <v>18.25</v>
      </c>
    </row>
    <row r="15" spans="1:18" x14ac:dyDescent="0.25">
      <c r="A15" s="5" t="s">
        <v>26</v>
      </c>
      <c r="B15" s="5" t="s">
        <v>15</v>
      </c>
      <c r="C15" s="5" t="s">
        <v>27</v>
      </c>
      <c r="D15" s="5" t="s">
        <v>18</v>
      </c>
      <c r="E15" s="5">
        <v>92</v>
      </c>
      <c r="F15" s="5">
        <v>37076</v>
      </c>
      <c r="G15" s="5">
        <v>11141</v>
      </c>
      <c r="H15" s="5">
        <v>6</v>
      </c>
      <c r="I15" s="5">
        <v>67</v>
      </c>
      <c r="J15" s="5">
        <v>0</v>
      </c>
      <c r="K15" s="5">
        <v>3.8</v>
      </c>
      <c r="L15" s="6">
        <f t="shared" si="0"/>
        <v>0.30049088359046283</v>
      </c>
      <c r="M15" s="7">
        <f t="shared" si="1"/>
        <v>403</v>
      </c>
      <c r="N15" s="5">
        <f t="shared" si="2"/>
        <v>15.333333333333334</v>
      </c>
    </row>
    <row r="16" spans="1:18" x14ac:dyDescent="0.25">
      <c r="A16" s="2" t="s">
        <v>26</v>
      </c>
      <c r="B16" s="2" t="s">
        <v>15</v>
      </c>
      <c r="C16" s="2" t="s">
        <v>27</v>
      </c>
      <c r="D16" s="2" t="s">
        <v>19</v>
      </c>
      <c r="E16" s="2">
        <v>99</v>
      </c>
      <c r="F16" s="2">
        <v>31581</v>
      </c>
      <c r="G16" s="2">
        <v>9344</v>
      </c>
      <c r="H16" s="2">
        <v>7</v>
      </c>
      <c r="I16" s="2">
        <v>55</v>
      </c>
      <c r="J16" s="2">
        <v>0</v>
      </c>
      <c r="K16" s="2">
        <v>4.5</v>
      </c>
      <c r="L16" s="3">
        <f t="shared" si="0"/>
        <v>0.29587410151673477</v>
      </c>
      <c r="M16" s="4">
        <f t="shared" si="1"/>
        <v>319</v>
      </c>
      <c r="N16" s="2">
        <f t="shared" si="2"/>
        <v>14.142857142857142</v>
      </c>
    </row>
    <row r="17" spans="1:14" x14ac:dyDescent="0.25">
      <c r="A17" s="5" t="s">
        <v>28</v>
      </c>
      <c r="B17" s="5" t="s">
        <v>15</v>
      </c>
      <c r="C17" s="5" t="s">
        <v>29</v>
      </c>
      <c r="D17" s="5" t="s">
        <v>17</v>
      </c>
      <c r="E17" s="5">
        <v>45</v>
      </c>
      <c r="F17" s="5">
        <v>9450</v>
      </c>
      <c r="G17" s="5">
        <v>2992</v>
      </c>
      <c r="H17" s="5">
        <v>3</v>
      </c>
      <c r="I17" s="5">
        <v>40</v>
      </c>
      <c r="J17" s="5">
        <v>0</v>
      </c>
      <c r="K17" s="5">
        <v>3.9</v>
      </c>
      <c r="L17" s="6">
        <f t="shared" si="0"/>
        <v>0.31661375661375663</v>
      </c>
      <c r="M17" s="7">
        <f t="shared" si="1"/>
        <v>210</v>
      </c>
      <c r="N17" s="5">
        <f t="shared" si="2"/>
        <v>15</v>
      </c>
    </row>
    <row r="18" spans="1:14" x14ac:dyDescent="0.25">
      <c r="A18" s="2" t="s">
        <v>28</v>
      </c>
      <c r="B18" s="2" t="s">
        <v>15</v>
      </c>
      <c r="C18" s="2" t="s">
        <v>29</v>
      </c>
      <c r="D18" s="2" t="s">
        <v>18</v>
      </c>
      <c r="E18" s="2">
        <v>106</v>
      </c>
      <c r="F18" s="2">
        <v>35934</v>
      </c>
      <c r="G18" s="2">
        <v>13434</v>
      </c>
      <c r="H18" s="2">
        <v>9</v>
      </c>
      <c r="I18" s="2">
        <v>75</v>
      </c>
      <c r="J18" s="2">
        <v>4</v>
      </c>
      <c r="K18" s="2">
        <v>4.4000000000000004</v>
      </c>
      <c r="L18" s="3">
        <f t="shared" si="0"/>
        <v>0.37385206211387545</v>
      </c>
      <c r="M18" s="4">
        <f t="shared" si="1"/>
        <v>339</v>
      </c>
      <c r="N18" s="2">
        <f t="shared" si="2"/>
        <v>11.777777777777779</v>
      </c>
    </row>
    <row r="19" spans="1:14" x14ac:dyDescent="0.25">
      <c r="A19" s="5" t="s">
        <v>28</v>
      </c>
      <c r="B19" s="5" t="s">
        <v>15</v>
      </c>
      <c r="C19" s="5" t="s">
        <v>29</v>
      </c>
      <c r="D19" s="5" t="s">
        <v>19</v>
      </c>
      <c r="E19" s="5">
        <v>109</v>
      </c>
      <c r="F19" s="5">
        <v>33354</v>
      </c>
      <c r="G19" s="5">
        <v>11624</v>
      </c>
      <c r="H19" s="5">
        <v>6</v>
      </c>
      <c r="I19" s="5">
        <v>59</v>
      </c>
      <c r="J19" s="5">
        <v>0</v>
      </c>
      <c r="K19" s="5">
        <v>4.0999999999999996</v>
      </c>
      <c r="L19" s="6">
        <f t="shared" si="0"/>
        <v>0.34850392756490978</v>
      </c>
      <c r="M19" s="7">
        <f t="shared" si="1"/>
        <v>306</v>
      </c>
      <c r="N19" s="5">
        <f t="shared" si="2"/>
        <v>18.166666666666668</v>
      </c>
    </row>
    <row r="20" spans="1:14" x14ac:dyDescent="0.25">
      <c r="A20" s="2" t="s">
        <v>30</v>
      </c>
      <c r="B20" s="2" t="s">
        <v>15</v>
      </c>
      <c r="C20" s="2" t="s">
        <v>31</v>
      </c>
      <c r="D20" s="2" t="s">
        <v>17</v>
      </c>
      <c r="E20" s="2">
        <v>68</v>
      </c>
      <c r="F20" s="2">
        <v>14756</v>
      </c>
      <c r="G20" s="2">
        <v>5249</v>
      </c>
      <c r="H20" s="2">
        <v>4</v>
      </c>
      <c r="I20" s="2">
        <v>49</v>
      </c>
      <c r="J20" s="2">
        <v>0</v>
      </c>
      <c r="K20" s="2">
        <v>3.8</v>
      </c>
      <c r="L20" s="3">
        <f t="shared" si="0"/>
        <v>0.35571970723773383</v>
      </c>
      <c r="M20" s="4">
        <f t="shared" si="1"/>
        <v>217</v>
      </c>
      <c r="N20" s="2">
        <f t="shared" si="2"/>
        <v>17</v>
      </c>
    </row>
    <row r="21" spans="1:14" x14ac:dyDescent="0.25">
      <c r="A21" s="5" t="s">
        <v>30</v>
      </c>
      <c r="B21" s="5" t="s">
        <v>15</v>
      </c>
      <c r="C21" s="5" t="s">
        <v>31</v>
      </c>
      <c r="D21" s="5" t="s">
        <v>18</v>
      </c>
      <c r="E21" s="5">
        <v>182</v>
      </c>
      <c r="F21" s="5">
        <v>54236</v>
      </c>
      <c r="G21" s="5">
        <v>15456</v>
      </c>
      <c r="H21" s="5">
        <v>7</v>
      </c>
      <c r="I21" s="5">
        <v>45</v>
      </c>
      <c r="J21" s="5">
        <v>0</v>
      </c>
      <c r="K21" s="5">
        <v>4.4000000000000004</v>
      </c>
      <c r="L21" s="6">
        <f t="shared" si="0"/>
        <v>0.28497676819824469</v>
      </c>
      <c r="M21" s="7">
        <f t="shared" si="1"/>
        <v>298</v>
      </c>
      <c r="N21" s="5">
        <f t="shared" si="2"/>
        <v>26</v>
      </c>
    </row>
    <row r="22" spans="1:14" x14ac:dyDescent="0.25">
      <c r="A22" s="2" t="s">
        <v>30</v>
      </c>
      <c r="B22" s="2" t="s">
        <v>15</v>
      </c>
      <c r="C22" s="2" t="s">
        <v>31</v>
      </c>
      <c r="D22" s="2" t="s">
        <v>19</v>
      </c>
      <c r="E22" s="2">
        <v>53</v>
      </c>
      <c r="F22" s="2">
        <v>17490</v>
      </c>
      <c r="G22" s="2">
        <v>5396</v>
      </c>
      <c r="H22" s="2">
        <v>4</v>
      </c>
      <c r="I22" s="2">
        <v>64</v>
      </c>
      <c r="J22" s="2">
        <v>3</v>
      </c>
      <c r="K22" s="2">
        <v>3.8</v>
      </c>
      <c r="L22" s="3">
        <f t="shared" si="0"/>
        <v>0.30851915380217265</v>
      </c>
      <c r="M22" s="4">
        <f t="shared" si="1"/>
        <v>330</v>
      </c>
      <c r="N22" s="2">
        <f t="shared" si="2"/>
        <v>13.25</v>
      </c>
    </row>
    <row r="23" spans="1:14" x14ac:dyDescent="0.25">
      <c r="A23" s="5" t="s">
        <v>32</v>
      </c>
      <c r="B23" s="5" t="s">
        <v>15</v>
      </c>
      <c r="C23" s="5" t="s">
        <v>16</v>
      </c>
      <c r="D23" s="5" t="s">
        <v>17</v>
      </c>
      <c r="E23" s="5">
        <v>35</v>
      </c>
      <c r="F23" s="5">
        <v>7560</v>
      </c>
      <c r="G23" s="5">
        <v>2603</v>
      </c>
      <c r="H23" s="5">
        <v>4</v>
      </c>
      <c r="I23" s="5">
        <v>52</v>
      </c>
      <c r="J23" s="5">
        <v>2</v>
      </c>
      <c r="K23" s="5">
        <v>4.4000000000000004</v>
      </c>
      <c r="L23" s="6">
        <f t="shared" si="0"/>
        <v>0.34431216931216929</v>
      </c>
      <c r="M23" s="7">
        <f t="shared" si="1"/>
        <v>216</v>
      </c>
      <c r="N23" s="5">
        <f t="shared" si="2"/>
        <v>8.75</v>
      </c>
    </row>
    <row r="24" spans="1:14" x14ac:dyDescent="0.25">
      <c r="A24" s="2" t="s">
        <v>32</v>
      </c>
      <c r="B24" s="2" t="s">
        <v>15</v>
      </c>
      <c r="C24" s="2" t="s">
        <v>16</v>
      </c>
      <c r="D24" s="2" t="s">
        <v>18</v>
      </c>
      <c r="E24" s="2">
        <v>89</v>
      </c>
      <c r="F24" s="2">
        <v>29281</v>
      </c>
      <c r="G24" s="2">
        <v>11794</v>
      </c>
      <c r="H24" s="2">
        <v>9</v>
      </c>
      <c r="I24" s="2">
        <v>72</v>
      </c>
      <c r="J24" s="2">
        <v>2</v>
      </c>
      <c r="K24" s="2">
        <v>3.9</v>
      </c>
      <c r="L24" s="3">
        <f t="shared" si="0"/>
        <v>0.40278679006864521</v>
      </c>
      <c r="M24" s="4">
        <f t="shared" si="1"/>
        <v>329</v>
      </c>
      <c r="N24" s="2">
        <f t="shared" si="2"/>
        <v>9.8888888888888893</v>
      </c>
    </row>
    <row r="25" spans="1:14" x14ac:dyDescent="0.25">
      <c r="A25" s="5" t="s">
        <v>32</v>
      </c>
      <c r="B25" s="5" t="s">
        <v>15</v>
      </c>
      <c r="C25" s="5" t="s">
        <v>16</v>
      </c>
      <c r="D25" s="5" t="s">
        <v>19</v>
      </c>
      <c r="E25" s="5">
        <v>28</v>
      </c>
      <c r="F25" s="5">
        <v>9352</v>
      </c>
      <c r="G25" s="5">
        <v>3042</v>
      </c>
      <c r="H25" s="5">
        <v>5</v>
      </c>
      <c r="I25" s="5">
        <v>64</v>
      </c>
      <c r="J25" s="5">
        <v>2</v>
      </c>
      <c r="K25" s="5">
        <v>4.5999999999999996</v>
      </c>
      <c r="L25" s="6">
        <f t="shared" si="0"/>
        <v>0.3252780153977759</v>
      </c>
      <c r="M25" s="7">
        <f t="shared" si="1"/>
        <v>334</v>
      </c>
      <c r="N25" s="5">
        <f t="shared" si="2"/>
        <v>5.6</v>
      </c>
    </row>
    <row r="26" spans="1:14" x14ac:dyDescent="0.25">
      <c r="A26" s="2" t="s">
        <v>33</v>
      </c>
      <c r="B26" s="2" t="s">
        <v>15</v>
      </c>
      <c r="C26" s="2" t="s">
        <v>21</v>
      </c>
      <c r="D26" s="2" t="s">
        <v>17</v>
      </c>
      <c r="E26" s="2">
        <v>43</v>
      </c>
      <c r="F26" s="2">
        <v>11825</v>
      </c>
      <c r="G26" s="2">
        <v>4581</v>
      </c>
      <c r="H26" s="2">
        <v>5</v>
      </c>
      <c r="I26" s="2">
        <v>51</v>
      </c>
      <c r="J26" s="2">
        <v>1</v>
      </c>
      <c r="K26" s="2">
        <v>4.2</v>
      </c>
      <c r="L26" s="3">
        <f t="shared" si="0"/>
        <v>0.387399577167019</v>
      </c>
      <c r="M26" s="4">
        <f t="shared" si="1"/>
        <v>275</v>
      </c>
      <c r="N26" s="2">
        <f t="shared" si="2"/>
        <v>8.6</v>
      </c>
    </row>
    <row r="27" spans="1:14" x14ac:dyDescent="0.25">
      <c r="A27" s="5" t="s">
        <v>33</v>
      </c>
      <c r="B27" s="5" t="s">
        <v>15</v>
      </c>
      <c r="C27" s="5" t="s">
        <v>21</v>
      </c>
      <c r="D27" s="5" t="s">
        <v>18</v>
      </c>
      <c r="E27" s="5">
        <v>95</v>
      </c>
      <c r="F27" s="5">
        <v>32775</v>
      </c>
      <c r="G27" s="5">
        <v>10913</v>
      </c>
      <c r="H27" s="5">
        <v>10</v>
      </c>
      <c r="I27" s="5">
        <v>71</v>
      </c>
      <c r="J27" s="5">
        <v>2</v>
      </c>
      <c r="K27" s="5">
        <v>4.7</v>
      </c>
      <c r="L27" s="6">
        <f t="shared" si="0"/>
        <v>0.33296720061022123</v>
      </c>
      <c r="M27" s="7">
        <f t="shared" si="1"/>
        <v>345</v>
      </c>
      <c r="N27" s="5">
        <f t="shared" si="2"/>
        <v>9.5</v>
      </c>
    </row>
    <row r="28" spans="1:14" x14ac:dyDescent="0.25">
      <c r="A28" s="2" t="s">
        <v>33</v>
      </c>
      <c r="B28" s="2" t="s">
        <v>15</v>
      </c>
      <c r="C28" s="2" t="s">
        <v>21</v>
      </c>
      <c r="D28" s="2" t="s">
        <v>19</v>
      </c>
      <c r="E28" s="2">
        <v>40</v>
      </c>
      <c r="F28" s="2">
        <v>9040</v>
      </c>
      <c r="G28" s="2">
        <v>2714</v>
      </c>
      <c r="H28" s="2">
        <v>6</v>
      </c>
      <c r="I28" s="2">
        <v>65</v>
      </c>
      <c r="J28" s="2">
        <v>0</v>
      </c>
      <c r="K28" s="2">
        <v>3.8</v>
      </c>
      <c r="L28" s="3">
        <f t="shared" si="0"/>
        <v>0.30022123893805308</v>
      </c>
      <c r="M28" s="4">
        <f t="shared" si="1"/>
        <v>226</v>
      </c>
      <c r="N28" s="2">
        <f t="shared" si="2"/>
        <v>6.666666666666667</v>
      </c>
    </row>
    <row r="29" spans="1:14" x14ac:dyDescent="0.25">
      <c r="A29" s="5" t="s">
        <v>34</v>
      </c>
      <c r="B29" s="5" t="s">
        <v>15</v>
      </c>
      <c r="C29" s="5" t="s">
        <v>23</v>
      </c>
      <c r="D29" s="5" t="s">
        <v>17</v>
      </c>
      <c r="E29" s="5">
        <v>52</v>
      </c>
      <c r="F29" s="5">
        <v>13468</v>
      </c>
      <c r="G29" s="5">
        <v>4828</v>
      </c>
      <c r="H29" s="5">
        <v>5</v>
      </c>
      <c r="I29" s="5">
        <v>53</v>
      </c>
      <c r="J29" s="5">
        <v>0</v>
      </c>
      <c r="K29" s="5">
        <v>4.2</v>
      </c>
      <c r="L29" s="6">
        <f t="shared" si="0"/>
        <v>0.35847935847935847</v>
      </c>
      <c r="M29" s="7">
        <f t="shared" si="1"/>
        <v>259</v>
      </c>
      <c r="N29" s="5">
        <f t="shared" si="2"/>
        <v>10.4</v>
      </c>
    </row>
    <row r="30" spans="1:14" x14ac:dyDescent="0.25">
      <c r="A30" s="2" t="s">
        <v>34</v>
      </c>
      <c r="B30" s="2" t="s">
        <v>15</v>
      </c>
      <c r="C30" s="2" t="s">
        <v>23</v>
      </c>
      <c r="D30" s="2" t="s">
        <v>18</v>
      </c>
      <c r="E30" s="2">
        <v>124</v>
      </c>
      <c r="F30" s="2">
        <v>38440</v>
      </c>
      <c r="G30" s="2">
        <v>14204</v>
      </c>
      <c r="H30" s="2">
        <v>7</v>
      </c>
      <c r="I30" s="2">
        <v>53</v>
      </c>
      <c r="J30" s="2">
        <v>1</v>
      </c>
      <c r="K30" s="2">
        <v>4.3</v>
      </c>
      <c r="L30" s="3">
        <f t="shared" si="0"/>
        <v>0.3695109261186264</v>
      </c>
      <c r="M30" s="4">
        <f t="shared" si="1"/>
        <v>310</v>
      </c>
      <c r="N30" s="2">
        <f t="shared" si="2"/>
        <v>17.714285714285715</v>
      </c>
    </row>
    <row r="31" spans="1:14" x14ac:dyDescent="0.25">
      <c r="A31" s="5" t="s">
        <v>34</v>
      </c>
      <c r="B31" s="5" t="s">
        <v>15</v>
      </c>
      <c r="C31" s="5" t="s">
        <v>23</v>
      </c>
      <c r="D31" s="5" t="s">
        <v>19</v>
      </c>
      <c r="E31" s="5">
        <v>46</v>
      </c>
      <c r="F31" s="5">
        <v>9890</v>
      </c>
      <c r="G31" s="5">
        <v>3707</v>
      </c>
      <c r="H31" s="5">
        <v>7</v>
      </c>
      <c r="I31" s="5">
        <v>42</v>
      </c>
      <c r="J31" s="5">
        <v>2</v>
      </c>
      <c r="K31" s="5">
        <v>3.7</v>
      </c>
      <c r="L31" s="6">
        <f t="shared" si="0"/>
        <v>0.37482305358948431</v>
      </c>
      <c r="M31" s="7">
        <f t="shared" si="1"/>
        <v>215</v>
      </c>
      <c r="N31" s="5">
        <f t="shared" si="2"/>
        <v>6.5714285714285712</v>
      </c>
    </row>
    <row r="32" spans="1:14" x14ac:dyDescent="0.25">
      <c r="A32" s="2" t="s">
        <v>35</v>
      </c>
      <c r="B32" s="2" t="s">
        <v>15</v>
      </c>
      <c r="C32" s="2" t="s">
        <v>25</v>
      </c>
      <c r="D32" s="2" t="s">
        <v>17</v>
      </c>
      <c r="E32" s="2">
        <v>47</v>
      </c>
      <c r="F32" s="2">
        <v>12314</v>
      </c>
      <c r="G32" s="2">
        <v>4517</v>
      </c>
      <c r="H32" s="2">
        <v>3</v>
      </c>
      <c r="I32" s="2">
        <v>36</v>
      </c>
      <c r="J32" s="2">
        <v>1</v>
      </c>
      <c r="K32" s="2">
        <v>4.3</v>
      </c>
      <c r="L32" s="3">
        <f t="shared" si="0"/>
        <v>0.36681825564398246</v>
      </c>
      <c r="M32" s="4">
        <f t="shared" si="1"/>
        <v>262</v>
      </c>
      <c r="N32" s="2">
        <f t="shared" si="2"/>
        <v>15.666666666666666</v>
      </c>
    </row>
    <row r="33" spans="1:14" x14ac:dyDescent="0.25">
      <c r="A33" s="5" t="s">
        <v>35</v>
      </c>
      <c r="B33" s="5" t="s">
        <v>15</v>
      </c>
      <c r="C33" s="5" t="s">
        <v>25</v>
      </c>
      <c r="D33" s="5" t="s">
        <v>18</v>
      </c>
      <c r="E33" s="5">
        <v>77</v>
      </c>
      <c r="F33" s="5">
        <v>31262</v>
      </c>
      <c r="G33" s="5">
        <v>10524</v>
      </c>
      <c r="H33" s="5">
        <v>10</v>
      </c>
      <c r="I33" s="5">
        <v>72</v>
      </c>
      <c r="J33" s="5">
        <v>0</v>
      </c>
      <c r="K33" s="5">
        <v>4.0999999999999996</v>
      </c>
      <c r="L33" s="6">
        <f t="shared" si="0"/>
        <v>0.33663873072740069</v>
      </c>
      <c r="M33" s="7">
        <f t="shared" si="1"/>
        <v>406</v>
      </c>
      <c r="N33" s="5">
        <f t="shared" si="2"/>
        <v>7.7</v>
      </c>
    </row>
    <row r="34" spans="1:14" x14ac:dyDescent="0.25">
      <c r="A34" s="2" t="s">
        <v>35</v>
      </c>
      <c r="B34" s="2" t="s">
        <v>15</v>
      </c>
      <c r="C34" s="2" t="s">
        <v>25</v>
      </c>
      <c r="D34" s="2" t="s">
        <v>19</v>
      </c>
      <c r="E34" s="2">
        <v>36</v>
      </c>
      <c r="F34" s="2">
        <v>7488</v>
      </c>
      <c r="G34" s="2">
        <v>2490</v>
      </c>
      <c r="H34" s="2">
        <v>5</v>
      </c>
      <c r="I34" s="2">
        <v>41</v>
      </c>
      <c r="J34" s="2">
        <v>2</v>
      </c>
      <c r="K34" s="2">
        <v>4.4000000000000004</v>
      </c>
      <c r="L34" s="3">
        <f t="shared" si="0"/>
        <v>0.33253205128205127</v>
      </c>
      <c r="M34" s="4">
        <f t="shared" si="1"/>
        <v>208</v>
      </c>
      <c r="N34" s="2">
        <f t="shared" si="2"/>
        <v>7.2</v>
      </c>
    </row>
    <row r="35" spans="1:14" x14ac:dyDescent="0.25">
      <c r="A35" s="5" t="s">
        <v>36</v>
      </c>
      <c r="B35" s="5" t="s">
        <v>15</v>
      </c>
      <c r="C35" s="5" t="s">
        <v>27</v>
      </c>
      <c r="D35" s="5" t="s">
        <v>17</v>
      </c>
      <c r="E35" s="5">
        <v>49</v>
      </c>
      <c r="F35" s="5">
        <v>12789</v>
      </c>
      <c r="G35" s="5">
        <v>5203</v>
      </c>
      <c r="H35" s="5">
        <v>3</v>
      </c>
      <c r="I35" s="5">
        <v>52</v>
      </c>
      <c r="J35" s="5">
        <v>2</v>
      </c>
      <c r="K35" s="5">
        <v>3.9</v>
      </c>
      <c r="L35" s="6">
        <f t="shared" si="0"/>
        <v>0.40683399796700287</v>
      </c>
      <c r="M35" s="7">
        <f t="shared" si="1"/>
        <v>261</v>
      </c>
      <c r="N35" s="5">
        <f t="shared" si="2"/>
        <v>16.333333333333332</v>
      </c>
    </row>
    <row r="36" spans="1:14" x14ac:dyDescent="0.25">
      <c r="A36" s="2" t="s">
        <v>36</v>
      </c>
      <c r="B36" s="2" t="s">
        <v>15</v>
      </c>
      <c r="C36" s="2" t="s">
        <v>27</v>
      </c>
      <c r="D36" s="2" t="s">
        <v>18</v>
      </c>
      <c r="E36" s="2">
        <v>89</v>
      </c>
      <c r="F36" s="2">
        <v>37380</v>
      </c>
      <c r="G36" s="2">
        <v>15694</v>
      </c>
      <c r="H36" s="2">
        <v>9</v>
      </c>
      <c r="I36" s="2">
        <v>61</v>
      </c>
      <c r="J36" s="2">
        <v>0</v>
      </c>
      <c r="K36" s="2">
        <v>3.7</v>
      </c>
      <c r="L36" s="3">
        <f t="shared" si="0"/>
        <v>0.41985018726591761</v>
      </c>
      <c r="M36" s="4">
        <f t="shared" si="1"/>
        <v>420</v>
      </c>
      <c r="N36" s="2">
        <f t="shared" si="2"/>
        <v>9.8888888888888893</v>
      </c>
    </row>
    <row r="37" spans="1:14" x14ac:dyDescent="0.25">
      <c r="A37" s="5" t="s">
        <v>36</v>
      </c>
      <c r="B37" s="5" t="s">
        <v>15</v>
      </c>
      <c r="C37" s="5" t="s">
        <v>27</v>
      </c>
      <c r="D37" s="5" t="s">
        <v>19</v>
      </c>
      <c r="E37" s="5">
        <v>82</v>
      </c>
      <c r="F37" s="5">
        <v>20664</v>
      </c>
      <c r="G37" s="5">
        <v>7352</v>
      </c>
      <c r="H37" s="5">
        <v>6</v>
      </c>
      <c r="I37" s="5">
        <v>50</v>
      </c>
      <c r="J37" s="5">
        <v>3</v>
      </c>
      <c r="K37" s="5">
        <v>3.8</v>
      </c>
      <c r="L37" s="6">
        <f t="shared" si="0"/>
        <v>0.35578784359272164</v>
      </c>
      <c r="M37" s="7">
        <f t="shared" si="1"/>
        <v>252</v>
      </c>
      <c r="N37" s="5">
        <f t="shared" si="2"/>
        <v>13.666666666666666</v>
      </c>
    </row>
    <row r="38" spans="1:14" x14ac:dyDescent="0.25">
      <c r="A38" s="2" t="s">
        <v>37</v>
      </c>
      <c r="B38" s="2" t="s">
        <v>15</v>
      </c>
      <c r="C38" s="2" t="s">
        <v>29</v>
      </c>
      <c r="D38" s="2" t="s">
        <v>17</v>
      </c>
      <c r="E38" s="2">
        <v>82</v>
      </c>
      <c r="F38" s="2">
        <v>20746</v>
      </c>
      <c r="G38" s="2">
        <v>7075</v>
      </c>
      <c r="H38" s="2">
        <v>5</v>
      </c>
      <c r="I38" s="2">
        <v>47</v>
      </c>
      <c r="J38" s="2">
        <v>2</v>
      </c>
      <c r="K38" s="2">
        <v>4.3</v>
      </c>
      <c r="L38" s="3">
        <f t="shared" si="0"/>
        <v>0.34102959606671168</v>
      </c>
      <c r="M38" s="4">
        <f t="shared" si="1"/>
        <v>253</v>
      </c>
      <c r="N38" s="2">
        <f t="shared" si="2"/>
        <v>16.399999999999999</v>
      </c>
    </row>
    <row r="39" spans="1:14" x14ac:dyDescent="0.25">
      <c r="A39" s="5" t="s">
        <v>37</v>
      </c>
      <c r="B39" s="5" t="s">
        <v>15</v>
      </c>
      <c r="C39" s="5" t="s">
        <v>29</v>
      </c>
      <c r="D39" s="5" t="s">
        <v>18</v>
      </c>
      <c r="E39" s="5">
        <v>210</v>
      </c>
      <c r="F39" s="5">
        <v>100800</v>
      </c>
      <c r="G39" s="5">
        <v>30984</v>
      </c>
      <c r="H39" s="5">
        <v>6</v>
      </c>
      <c r="I39" s="5">
        <v>51</v>
      </c>
      <c r="J39" s="5">
        <v>4</v>
      </c>
      <c r="K39" s="5">
        <v>4.4000000000000004</v>
      </c>
      <c r="L39" s="6">
        <f t="shared" si="0"/>
        <v>0.30738095238095237</v>
      </c>
      <c r="M39" s="7">
        <f t="shared" si="1"/>
        <v>480</v>
      </c>
      <c r="N39" s="5">
        <f t="shared" si="2"/>
        <v>35</v>
      </c>
    </row>
    <row r="40" spans="1:14" x14ac:dyDescent="0.25">
      <c r="A40" s="2" t="s">
        <v>37</v>
      </c>
      <c r="B40" s="2" t="s">
        <v>15</v>
      </c>
      <c r="C40" s="2" t="s">
        <v>29</v>
      </c>
      <c r="D40" s="2" t="s">
        <v>19</v>
      </c>
      <c r="E40" s="2">
        <v>114</v>
      </c>
      <c r="F40" s="2">
        <v>31692</v>
      </c>
      <c r="G40" s="2">
        <v>11728</v>
      </c>
      <c r="H40" s="2">
        <v>6</v>
      </c>
      <c r="I40" s="2">
        <v>50</v>
      </c>
      <c r="J40" s="2">
        <v>3</v>
      </c>
      <c r="K40" s="2">
        <v>3.8</v>
      </c>
      <c r="L40" s="3">
        <f t="shared" si="0"/>
        <v>0.37006184526063357</v>
      </c>
      <c r="M40" s="4">
        <f t="shared" si="1"/>
        <v>278</v>
      </c>
      <c r="N40" s="2">
        <f t="shared" si="2"/>
        <v>19</v>
      </c>
    </row>
    <row r="41" spans="1:14" x14ac:dyDescent="0.25">
      <c r="A41" s="5" t="s">
        <v>38</v>
      </c>
      <c r="B41" s="5" t="s">
        <v>15</v>
      </c>
      <c r="C41" s="5" t="s">
        <v>31</v>
      </c>
      <c r="D41" s="5" t="s">
        <v>17</v>
      </c>
      <c r="E41" s="5">
        <v>77</v>
      </c>
      <c r="F41" s="5">
        <v>17325</v>
      </c>
      <c r="G41" s="5">
        <v>6754</v>
      </c>
      <c r="H41" s="5">
        <v>3</v>
      </c>
      <c r="I41" s="5">
        <v>43</v>
      </c>
      <c r="J41" s="5">
        <v>1</v>
      </c>
      <c r="K41" s="5">
        <v>4.4000000000000004</v>
      </c>
      <c r="L41" s="6">
        <f t="shared" si="0"/>
        <v>0.38984126984126982</v>
      </c>
      <c r="M41" s="7">
        <f t="shared" si="1"/>
        <v>225</v>
      </c>
      <c r="N41" s="5">
        <f t="shared" si="2"/>
        <v>25.666666666666668</v>
      </c>
    </row>
    <row r="42" spans="1:14" x14ac:dyDescent="0.25">
      <c r="A42" s="2" t="s">
        <v>38</v>
      </c>
      <c r="B42" s="2" t="s">
        <v>15</v>
      </c>
      <c r="C42" s="2" t="s">
        <v>31</v>
      </c>
      <c r="D42" s="2" t="s">
        <v>18</v>
      </c>
      <c r="E42" s="2">
        <v>119</v>
      </c>
      <c r="F42" s="2">
        <v>43792</v>
      </c>
      <c r="G42" s="2">
        <v>16370</v>
      </c>
      <c r="H42" s="2">
        <v>8</v>
      </c>
      <c r="I42" s="2">
        <v>61</v>
      </c>
      <c r="J42" s="2">
        <v>3</v>
      </c>
      <c r="K42" s="2">
        <v>3.9</v>
      </c>
      <c r="L42" s="3">
        <f t="shared" si="0"/>
        <v>0.37381256850566313</v>
      </c>
      <c r="M42" s="4">
        <f t="shared" si="1"/>
        <v>368</v>
      </c>
      <c r="N42" s="2">
        <f t="shared" si="2"/>
        <v>14.875</v>
      </c>
    </row>
    <row r="43" spans="1:14" x14ac:dyDescent="0.25">
      <c r="A43" s="5" t="s">
        <v>38</v>
      </c>
      <c r="B43" s="5" t="s">
        <v>15</v>
      </c>
      <c r="C43" s="5" t="s">
        <v>31</v>
      </c>
      <c r="D43" s="5" t="s">
        <v>19</v>
      </c>
      <c r="E43" s="5">
        <v>91</v>
      </c>
      <c r="F43" s="5">
        <v>23751</v>
      </c>
      <c r="G43" s="5">
        <v>8964</v>
      </c>
      <c r="H43" s="5">
        <v>4</v>
      </c>
      <c r="I43" s="5">
        <v>55</v>
      </c>
      <c r="J43" s="5">
        <v>0</v>
      </c>
      <c r="K43" s="5">
        <v>3.9</v>
      </c>
      <c r="L43" s="6">
        <f t="shared" si="0"/>
        <v>0.37741568776051537</v>
      </c>
      <c r="M43" s="7">
        <f t="shared" si="1"/>
        <v>261</v>
      </c>
      <c r="N43" s="5">
        <f t="shared" si="2"/>
        <v>22.75</v>
      </c>
    </row>
    <row r="44" spans="1:14" x14ac:dyDescent="0.25">
      <c r="A44" s="2" t="s">
        <v>39</v>
      </c>
      <c r="B44" s="2" t="s">
        <v>15</v>
      </c>
      <c r="C44" s="2" t="s">
        <v>16</v>
      </c>
      <c r="D44" s="2" t="s">
        <v>17</v>
      </c>
      <c r="E44" s="2">
        <v>24</v>
      </c>
      <c r="F44" s="2">
        <v>4344</v>
      </c>
      <c r="G44" s="2">
        <v>1769</v>
      </c>
      <c r="H44" s="2">
        <v>5</v>
      </c>
      <c r="I44" s="2">
        <v>48</v>
      </c>
      <c r="J44" s="2">
        <v>1</v>
      </c>
      <c r="K44" s="2">
        <v>4.2</v>
      </c>
      <c r="L44" s="3">
        <f t="shared" si="0"/>
        <v>0.4072283609576427</v>
      </c>
      <c r="M44" s="4">
        <f t="shared" si="1"/>
        <v>181</v>
      </c>
      <c r="N44" s="2">
        <f t="shared" si="2"/>
        <v>4.8</v>
      </c>
    </row>
    <row r="45" spans="1:14" x14ac:dyDescent="0.25">
      <c r="A45" s="5" t="s">
        <v>39</v>
      </c>
      <c r="B45" s="5" t="s">
        <v>15</v>
      </c>
      <c r="C45" s="5" t="s">
        <v>16</v>
      </c>
      <c r="D45" s="5" t="s">
        <v>18</v>
      </c>
      <c r="E45" s="5">
        <v>111</v>
      </c>
      <c r="F45" s="5">
        <v>43068</v>
      </c>
      <c r="G45" s="5">
        <v>16226</v>
      </c>
      <c r="H45" s="5">
        <v>6</v>
      </c>
      <c r="I45" s="5">
        <v>66</v>
      </c>
      <c r="J45" s="5">
        <v>3</v>
      </c>
      <c r="K45" s="5">
        <v>4.5</v>
      </c>
      <c r="L45" s="6">
        <f t="shared" si="0"/>
        <v>0.37675304170149532</v>
      </c>
      <c r="M45" s="7">
        <f t="shared" si="1"/>
        <v>388</v>
      </c>
      <c r="N45" s="5">
        <f t="shared" si="2"/>
        <v>18.5</v>
      </c>
    </row>
    <row r="46" spans="1:14" x14ac:dyDescent="0.25">
      <c r="A46" s="2" t="s">
        <v>39</v>
      </c>
      <c r="B46" s="2" t="s">
        <v>15</v>
      </c>
      <c r="C46" s="2" t="s">
        <v>16</v>
      </c>
      <c r="D46" s="2" t="s">
        <v>19</v>
      </c>
      <c r="E46" s="2">
        <v>51</v>
      </c>
      <c r="F46" s="2">
        <v>14841</v>
      </c>
      <c r="G46" s="2">
        <v>5137</v>
      </c>
      <c r="H46" s="2">
        <v>7</v>
      </c>
      <c r="I46" s="2">
        <v>45</v>
      </c>
      <c r="J46" s="2">
        <v>3</v>
      </c>
      <c r="K46" s="2">
        <v>4</v>
      </c>
      <c r="L46" s="3">
        <f t="shared" si="0"/>
        <v>0.34613570514116299</v>
      </c>
      <c r="M46" s="4">
        <f t="shared" si="1"/>
        <v>291</v>
      </c>
      <c r="N46" s="2">
        <f t="shared" si="2"/>
        <v>7.2857142857142856</v>
      </c>
    </row>
    <row r="47" spans="1:14" x14ac:dyDescent="0.25">
      <c r="A47" s="5" t="s">
        <v>40</v>
      </c>
      <c r="B47" s="5" t="s">
        <v>15</v>
      </c>
      <c r="C47" s="5" t="s">
        <v>21</v>
      </c>
      <c r="D47" s="5" t="s">
        <v>17</v>
      </c>
      <c r="E47" s="5">
        <v>47</v>
      </c>
      <c r="F47" s="5">
        <v>10998</v>
      </c>
      <c r="G47" s="5">
        <v>4021</v>
      </c>
      <c r="H47" s="5">
        <v>4</v>
      </c>
      <c r="I47" s="5">
        <v>35</v>
      </c>
      <c r="J47" s="5">
        <v>2</v>
      </c>
      <c r="K47" s="5">
        <v>4</v>
      </c>
      <c r="L47" s="6">
        <f t="shared" si="0"/>
        <v>0.36561192944171667</v>
      </c>
      <c r="M47" s="7">
        <f t="shared" si="1"/>
        <v>234</v>
      </c>
      <c r="N47" s="5">
        <f t="shared" si="2"/>
        <v>11.75</v>
      </c>
    </row>
    <row r="48" spans="1:14" x14ac:dyDescent="0.25">
      <c r="A48" s="2" t="s">
        <v>40</v>
      </c>
      <c r="B48" s="2" t="s">
        <v>15</v>
      </c>
      <c r="C48" s="2" t="s">
        <v>21</v>
      </c>
      <c r="D48" s="2" t="s">
        <v>18</v>
      </c>
      <c r="E48" s="2">
        <v>82</v>
      </c>
      <c r="F48" s="2">
        <v>32144</v>
      </c>
      <c r="G48" s="2">
        <v>11300</v>
      </c>
      <c r="H48" s="2">
        <v>9</v>
      </c>
      <c r="I48" s="2">
        <v>66</v>
      </c>
      <c r="J48" s="2">
        <v>4</v>
      </c>
      <c r="K48" s="2">
        <v>3.5</v>
      </c>
      <c r="L48" s="3">
        <f t="shared" si="0"/>
        <v>0.35154305624688897</v>
      </c>
      <c r="M48" s="4">
        <f t="shared" si="1"/>
        <v>392</v>
      </c>
      <c r="N48" s="2">
        <f t="shared" si="2"/>
        <v>9.1111111111111107</v>
      </c>
    </row>
    <row r="49" spans="1:14" x14ac:dyDescent="0.25">
      <c r="A49" s="5" t="s">
        <v>40</v>
      </c>
      <c r="B49" s="5" t="s">
        <v>15</v>
      </c>
      <c r="C49" s="5" t="s">
        <v>21</v>
      </c>
      <c r="D49" s="5" t="s">
        <v>19</v>
      </c>
      <c r="E49" s="5">
        <v>29</v>
      </c>
      <c r="F49" s="5">
        <v>8671</v>
      </c>
      <c r="G49" s="5">
        <v>2829</v>
      </c>
      <c r="H49" s="5">
        <v>6</v>
      </c>
      <c r="I49" s="5">
        <v>61</v>
      </c>
      <c r="J49" s="5">
        <v>2</v>
      </c>
      <c r="K49" s="5">
        <v>4.2</v>
      </c>
      <c r="L49" s="6">
        <f t="shared" si="0"/>
        <v>0.32625994694960214</v>
      </c>
      <c r="M49" s="7">
        <f t="shared" si="1"/>
        <v>299</v>
      </c>
      <c r="N49" s="5">
        <f t="shared" si="2"/>
        <v>4.833333333333333</v>
      </c>
    </row>
    <row r="50" spans="1:14" x14ac:dyDescent="0.25">
      <c r="A50" s="2" t="s">
        <v>41</v>
      </c>
      <c r="B50" s="2" t="s">
        <v>15</v>
      </c>
      <c r="C50" s="2" t="s">
        <v>23</v>
      </c>
      <c r="D50" s="2" t="s">
        <v>17</v>
      </c>
      <c r="E50" s="2">
        <v>24</v>
      </c>
      <c r="F50" s="2">
        <v>5376</v>
      </c>
      <c r="G50" s="2">
        <v>1773</v>
      </c>
      <c r="H50" s="2">
        <v>3</v>
      </c>
      <c r="I50" s="2">
        <v>49</v>
      </c>
      <c r="J50" s="2">
        <v>2</v>
      </c>
      <c r="K50" s="2">
        <v>4.4000000000000004</v>
      </c>
      <c r="L50" s="3">
        <f t="shared" si="0"/>
        <v>0.32979910714285715</v>
      </c>
      <c r="M50" s="4">
        <f t="shared" si="1"/>
        <v>224</v>
      </c>
      <c r="N50" s="2">
        <f t="shared" si="2"/>
        <v>8</v>
      </c>
    </row>
    <row r="51" spans="1:14" x14ac:dyDescent="0.25">
      <c r="A51" s="5" t="s">
        <v>41</v>
      </c>
      <c r="B51" s="5" t="s">
        <v>15</v>
      </c>
      <c r="C51" s="5" t="s">
        <v>23</v>
      </c>
      <c r="D51" s="5" t="s">
        <v>18</v>
      </c>
      <c r="E51" s="5">
        <v>74</v>
      </c>
      <c r="F51" s="5">
        <v>21608</v>
      </c>
      <c r="G51" s="5">
        <v>7541</v>
      </c>
      <c r="H51" s="5">
        <v>8</v>
      </c>
      <c r="I51" s="5">
        <v>55</v>
      </c>
      <c r="J51" s="5">
        <v>2</v>
      </c>
      <c r="K51" s="5">
        <v>4.7</v>
      </c>
      <c r="L51" s="6">
        <f t="shared" si="0"/>
        <v>0.34899111440207331</v>
      </c>
      <c r="M51" s="7">
        <f t="shared" si="1"/>
        <v>292</v>
      </c>
      <c r="N51" s="5">
        <f t="shared" si="2"/>
        <v>9.25</v>
      </c>
    </row>
    <row r="52" spans="1:14" x14ac:dyDescent="0.25">
      <c r="A52" s="2" t="s">
        <v>41</v>
      </c>
      <c r="B52" s="2" t="s">
        <v>15</v>
      </c>
      <c r="C52" s="2" t="s">
        <v>23</v>
      </c>
      <c r="D52" s="2" t="s">
        <v>19</v>
      </c>
      <c r="E52" s="2">
        <v>66</v>
      </c>
      <c r="F52" s="2">
        <v>17490</v>
      </c>
      <c r="G52" s="2">
        <v>6789</v>
      </c>
      <c r="H52" s="2">
        <v>5</v>
      </c>
      <c r="I52" s="2">
        <v>45</v>
      </c>
      <c r="J52" s="2">
        <v>2</v>
      </c>
      <c r="K52" s="2">
        <v>4</v>
      </c>
      <c r="L52" s="3">
        <f t="shared" si="0"/>
        <v>0.38816466552315609</v>
      </c>
      <c r="M52" s="4">
        <f t="shared" si="1"/>
        <v>265</v>
      </c>
      <c r="N52" s="2">
        <f t="shared" si="2"/>
        <v>13.2</v>
      </c>
    </row>
    <row r="53" spans="1:14" x14ac:dyDescent="0.25">
      <c r="A53" s="5" t="s">
        <v>42</v>
      </c>
      <c r="B53" s="5" t="s">
        <v>15</v>
      </c>
      <c r="C53" s="5" t="s">
        <v>25</v>
      </c>
      <c r="D53" s="5" t="s">
        <v>17</v>
      </c>
      <c r="E53" s="5">
        <v>20</v>
      </c>
      <c r="F53" s="5">
        <v>4800</v>
      </c>
      <c r="G53" s="5">
        <v>1739</v>
      </c>
      <c r="H53" s="5">
        <v>5</v>
      </c>
      <c r="I53" s="5">
        <v>55</v>
      </c>
      <c r="J53" s="5">
        <v>1</v>
      </c>
      <c r="K53" s="5">
        <v>4</v>
      </c>
      <c r="L53" s="6">
        <f t="shared" si="0"/>
        <v>0.36229166666666668</v>
      </c>
      <c r="M53" s="7">
        <f t="shared" si="1"/>
        <v>240</v>
      </c>
      <c r="N53" s="5">
        <f t="shared" si="2"/>
        <v>4</v>
      </c>
    </row>
    <row r="54" spans="1:14" x14ac:dyDescent="0.25">
      <c r="A54" s="2" t="s">
        <v>42</v>
      </c>
      <c r="B54" s="2" t="s">
        <v>15</v>
      </c>
      <c r="C54" s="2" t="s">
        <v>25</v>
      </c>
      <c r="D54" s="2" t="s">
        <v>18</v>
      </c>
      <c r="E54" s="2">
        <v>137</v>
      </c>
      <c r="F54" s="2">
        <v>58910</v>
      </c>
      <c r="G54" s="2">
        <v>16788</v>
      </c>
      <c r="H54" s="2">
        <v>9</v>
      </c>
      <c r="I54" s="2">
        <v>48</v>
      </c>
      <c r="J54" s="2">
        <v>4</v>
      </c>
      <c r="K54" s="2">
        <v>4.8</v>
      </c>
      <c r="L54" s="3">
        <f t="shared" si="0"/>
        <v>0.28497708368698016</v>
      </c>
      <c r="M54" s="4">
        <f t="shared" si="1"/>
        <v>430</v>
      </c>
      <c r="N54" s="2">
        <f t="shared" si="2"/>
        <v>15.222222222222221</v>
      </c>
    </row>
    <row r="55" spans="1:14" x14ac:dyDescent="0.25">
      <c r="A55" s="5" t="s">
        <v>42</v>
      </c>
      <c r="B55" s="5" t="s">
        <v>15</v>
      </c>
      <c r="C55" s="5" t="s">
        <v>25</v>
      </c>
      <c r="D55" s="5" t="s">
        <v>19</v>
      </c>
      <c r="E55" s="5">
        <v>30</v>
      </c>
      <c r="F55" s="5">
        <v>6690</v>
      </c>
      <c r="G55" s="5">
        <v>1901</v>
      </c>
      <c r="H55" s="5">
        <v>6</v>
      </c>
      <c r="I55" s="5">
        <v>55</v>
      </c>
      <c r="J55" s="5">
        <v>3</v>
      </c>
      <c r="K55" s="5">
        <v>3.9</v>
      </c>
      <c r="L55" s="6">
        <f t="shared" si="0"/>
        <v>0.28415545590433483</v>
      </c>
      <c r="M55" s="7">
        <f t="shared" si="1"/>
        <v>223</v>
      </c>
      <c r="N55" s="5">
        <f t="shared" si="2"/>
        <v>5</v>
      </c>
    </row>
    <row r="56" spans="1:14" x14ac:dyDescent="0.25">
      <c r="A56" s="2" t="s">
        <v>43</v>
      </c>
      <c r="B56" s="2" t="s">
        <v>15</v>
      </c>
      <c r="C56" s="2" t="s">
        <v>27</v>
      </c>
      <c r="D56" s="2" t="s">
        <v>17</v>
      </c>
      <c r="E56" s="2">
        <v>74</v>
      </c>
      <c r="F56" s="2">
        <v>13986</v>
      </c>
      <c r="G56" s="2">
        <v>5621</v>
      </c>
      <c r="H56" s="2">
        <v>5</v>
      </c>
      <c r="I56" s="2">
        <v>46</v>
      </c>
      <c r="J56" s="2">
        <v>2</v>
      </c>
      <c r="K56" s="2">
        <v>4</v>
      </c>
      <c r="L56" s="3">
        <f t="shared" si="0"/>
        <v>0.40190190190190189</v>
      </c>
      <c r="M56" s="4">
        <f t="shared" si="1"/>
        <v>189</v>
      </c>
      <c r="N56" s="2">
        <f t="shared" si="2"/>
        <v>14.8</v>
      </c>
    </row>
    <row r="57" spans="1:14" x14ac:dyDescent="0.25">
      <c r="A57" s="5" t="s">
        <v>43</v>
      </c>
      <c r="B57" s="5" t="s">
        <v>15</v>
      </c>
      <c r="C57" s="5" t="s">
        <v>27</v>
      </c>
      <c r="D57" s="5" t="s">
        <v>18</v>
      </c>
      <c r="E57" s="5">
        <v>205</v>
      </c>
      <c r="F57" s="5">
        <v>59040</v>
      </c>
      <c r="G57" s="5">
        <v>22009</v>
      </c>
      <c r="H57" s="5">
        <v>10</v>
      </c>
      <c r="I57" s="5">
        <v>75</v>
      </c>
      <c r="J57" s="5">
        <v>1</v>
      </c>
      <c r="K57" s="5">
        <v>3.7</v>
      </c>
      <c r="L57" s="6">
        <f t="shared" si="0"/>
        <v>0.37278116531165312</v>
      </c>
      <c r="M57" s="7">
        <f t="shared" si="1"/>
        <v>288</v>
      </c>
      <c r="N57" s="5">
        <f t="shared" si="2"/>
        <v>20.5</v>
      </c>
    </row>
    <row r="58" spans="1:14" x14ac:dyDescent="0.25">
      <c r="A58" s="2" t="s">
        <v>43</v>
      </c>
      <c r="B58" s="2" t="s">
        <v>15</v>
      </c>
      <c r="C58" s="2" t="s">
        <v>27</v>
      </c>
      <c r="D58" s="2" t="s">
        <v>19</v>
      </c>
      <c r="E58" s="2">
        <v>89</v>
      </c>
      <c r="F58" s="2">
        <v>22606</v>
      </c>
      <c r="G58" s="2">
        <v>7207</v>
      </c>
      <c r="H58" s="2">
        <v>6</v>
      </c>
      <c r="I58" s="2">
        <v>41</v>
      </c>
      <c r="J58" s="2">
        <v>0</v>
      </c>
      <c r="K58" s="2">
        <v>4.0999999999999996</v>
      </c>
      <c r="L58" s="3">
        <f t="shared" si="0"/>
        <v>0.31880916570821904</v>
      </c>
      <c r="M58" s="4">
        <f t="shared" si="1"/>
        <v>254</v>
      </c>
      <c r="N58" s="2">
        <f t="shared" si="2"/>
        <v>14.833333333333334</v>
      </c>
    </row>
    <row r="59" spans="1:14" x14ac:dyDescent="0.25">
      <c r="A59" s="5" t="s">
        <v>44</v>
      </c>
      <c r="B59" s="5" t="s">
        <v>15</v>
      </c>
      <c r="C59" s="5" t="s">
        <v>29</v>
      </c>
      <c r="D59" s="5" t="s">
        <v>17</v>
      </c>
      <c r="E59" s="5">
        <v>69</v>
      </c>
      <c r="F59" s="5">
        <v>18009</v>
      </c>
      <c r="G59" s="5">
        <v>6177</v>
      </c>
      <c r="H59" s="5">
        <v>5</v>
      </c>
      <c r="I59" s="5">
        <v>50</v>
      </c>
      <c r="J59" s="5">
        <v>0</v>
      </c>
      <c r="K59" s="5">
        <v>3.9</v>
      </c>
      <c r="L59" s="6">
        <f t="shared" si="0"/>
        <v>0.34299516908212563</v>
      </c>
      <c r="M59" s="7">
        <f t="shared" si="1"/>
        <v>261</v>
      </c>
      <c r="N59" s="5">
        <f t="shared" si="2"/>
        <v>13.8</v>
      </c>
    </row>
    <row r="60" spans="1:14" x14ac:dyDescent="0.25">
      <c r="A60" s="2" t="s">
        <v>44</v>
      </c>
      <c r="B60" s="2" t="s">
        <v>15</v>
      </c>
      <c r="C60" s="2" t="s">
        <v>29</v>
      </c>
      <c r="D60" s="2" t="s">
        <v>18</v>
      </c>
      <c r="E60" s="2">
        <v>194</v>
      </c>
      <c r="F60" s="2">
        <v>76436</v>
      </c>
      <c r="G60" s="2">
        <v>29237</v>
      </c>
      <c r="H60" s="2">
        <v>9</v>
      </c>
      <c r="I60" s="2">
        <v>63</v>
      </c>
      <c r="J60" s="2">
        <v>3</v>
      </c>
      <c r="K60" s="2">
        <v>3.6</v>
      </c>
      <c r="L60" s="3">
        <f t="shared" si="0"/>
        <v>0.38250300905332568</v>
      </c>
      <c r="M60" s="4">
        <f t="shared" si="1"/>
        <v>394</v>
      </c>
      <c r="N60" s="2">
        <f t="shared" si="2"/>
        <v>21.555555555555557</v>
      </c>
    </row>
    <row r="61" spans="1:14" x14ac:dyDescent="0.25">
      <c r="A61" s="5" t="s">
        <v>44</v>
      </c>
      <c r="B61" s="5" t="s">
        <v>15</v>
      </c>
      <c r="C61" s="5" t="s">
        <v>29</v>
      </c>
      <c r="D61" s="5" t="s">
        <v>19</v>
      </c>
      <c r="E61" s="5">
        <v>64</v>
      </c>
      <c r="F61" s="5">
        <v>14784</v>
      </c>
      <c r="G61" s="5">
        <v>5462</v>
      </c>
      <c r="H61" s="5">
        <v>5</v>
      </c>
      <c r="I61" s="5">
        <v>49</v>
      </c>
      <c r="J61" s="5">
        <v>2</v>
      </c>
      <c r="K61" s="5">
        <v>4.3</v>
      </c>
      <c r="L61" s="6">
        <f t="shared" si="0"/>
        <v>0.36945346320346323</v>
      </c>
      <c r="M61" s="7">
        <f t="shared" si="1"/>
        <v>231</v>
      </c>
      <c r="N61" s="5">
        <f t="shared" si="2"/>
        <v>12.8</v>
      </c>
    </row>
    <row r="62" spans="1:14" x14ac:dyDescent="0.25">
      <c r="A62" s="2" t="s">
        <v>45</v>
      </c>
      <c r="B62" s="2" t="s">
        <v>15</v>
      </c>
      <c r="C62" s="2" t="s">
        <v>31</v>
      </c>
      <c r="D62" s="2" t="s">
        <v>17</v>
      </c>
      <c r="E62" s="2">
        <v>61</v>
      </c>
      <c r="F62" s="2">
        <v>14701</v>
      </c>
      <c r="G62" s="2">
        <v>4868</v>
      </c>
      <c r="H62" s="2">
        <v>4</v>
      </c>
      <c r="I62" s="2">
        <v>42</v>
      </c>
      <c r="J62" s="2">
        <v>0</v>
      </c>
      <c r="K62" s="2">
        <v>3.8</v>
      </c>
      <c r="L62" s="3">
        <f t="shared" si="0"/>
        <v>0.33113393646690703</v>
      </c>
      <c r="M62" s="4">
        <f t="shared" si="1"/>
        <v>241</v>
      </c>
      <c r="N62" s="2">
        <f t="shared" si="2"/>
        <v>15.25</v>
      </c>
    </row>
    <row r="63" spans="1:14" x14ac:dyDescent="0.25">
      <c r="A63" s="5" t="s">
        <v>45</v>
      </c>
      <c r="B63" s="5" t="s">
        <v>15</v>
      </c>
      <c r="C63" s="5" t="s">
        <v>31</v>
      </c>
      <c r="D63" s="5" t="s">
        <v>18</v>
      </c>
      <c r="E63" s="5">
        <v>195</v>
      </c>
      <c r="F63" s="5">
        <v>66885</v>
      </c>
      <c r="G63" s="5">
        <v>25970</v>
      </c>
      <c r="H63" s="5">
        <v>10</v>
      </c>
      <c r="I63" s="5">
        <v>71</v>
      </c>
      <c r="J63" s="5">
        <v>0</v>
      </c>
      <c r="K63" s="5">
        <v>4.0999999999999996</v>
      </c>
      <c r="L63" s="6">
        <f t="shared" si="0"/>
        <v>0.38827838827838829</v>
      </c>
      <c r="M63" s="7">
        <f t="shared" si="1"/>
        <v>343</v>
      </c>
      <c r="N63" s="5">
        <f t="shared" si="2"/>
        <v>19.5</v>
      </c>
    </row>
    <row r="64" spans="1:14" x14ac:dyDescent="0.25">
      <c r="A64" s="2" t="s">
        <v>45</v>
      </c>
      <c r="B64" s="2" t="s">
        <v>15</v>
      </c>
      <c r="C64" s="2" t="s">
        <v>31</v>
      </c>
      <c r="D64" s="2" t="s">
        <v>19</v>
      </c>
      <c r="E64" s="2">
        <v>52</v>
      </c>
      <c r="F64" s="2">
        <v>13104</v>
      </c>
      <c r="G64" s="2">
        <v>5008</v>
      </c>
      <c r="H64" s="2">
        <v>7</v>
      </c>
      <c r="I64" s="2">
        <v>47</v>
      </c>
      <c r="J64" s="2">
        <v>3</v>
      </c>
      <c r="K64" s="2">
        <v>4.3</v>
      </c>
      <c r="L64" s="3">
        <f t="shared" si="0"/>
        <v>0.38217338217338215</v>
      </c>
      <c r="M64" s="4">
        <f t="shared" si="1"/>
        <v>252</v>
      </c>
      <c r="N64" s="2">
        <f t="shared" si="2"/>
        <v>7.4285714285714288</v>
      </c>
    </row>
    <row r="65" spans="1:14" x14ac:dyDescent="0.25">
      <c r="A65" s="5" t="s">
        <v>46</v>
      </c>
      <c r="B65" s="5" t="s">
        <v>15</v>
      </c>
      <c r="C65" s="5" t="s">
        <v>16</v>
      </c>
      <c r="D65" s="5" t="s">
        <v>17</v>
      </c>
      <c r="E65" s="5">
        <v>28</v>
      </c>
      <c r="F65" s="5">
        <v>6132</v>
      </c>
      <c r="G65" s="5">
        <v>2001</v>
      </c>
      <c r="H65" s="5">
        <v>3</v>
      </c>
      <c r="I65" s="5">
        <v>55</v>
      </c>
      <c r="J65" s="5">
        <v>1</v>
      </c>
      <c r="K65" s="5">
        <v>4.0999999999999996</v>
      </c>
      <c r="L65" s="6">
        <f t="shared" si="0"/>
        <v>0.32632093933463796</v>
      </c>
      <c r="M65" s="7">
        <f t="shared" si="1"/>
        <v>219</v>
      </c>
      <c r="N65" s="5">
        <f t="shared" si="2"/>
        <v>9.3333333333333339</v>
      </c>
    </row>
    <row r="66" spans="1:14" x14ac:dyDescent="0.25">
      <c r="A66" s="2" t="s">
        <v>46</v>
      </c>
      <c r="B66" s="2" t="s">
        <v>15</v>
      </c>
      <c r="C66" s="2" t="s">
        <v>16</v>
      </c>
      <c r="D66" s="2" t="s">
        <v>18</v>
      </c>
      <c r="E66" s="2">
        <v>107</v>
      </c>
      <c r="F66" s="2">
        <v>43549</v>
      </c>
      <c r="G66" s="2">
        <v>13295</v>
      </c>
      <c r="H66" s="2">
        <v>9</v>
      </c>
      <c r="I66" s="2">
        <v>60</v>
      </c>
      <c r="J66" s="2">
        <v>3</v>
      </c>
      <c r="K66" s="2">
        <v>3.7</v>
      </c>
      <c r="L66" s="3">
        <f t="shared" ref="L66:L129" si="3">G66/F66</f>
        <v>0.30528829594250156</v>
      </c>
      <c r="M66" s="4">
        <f t="shared" ref="M66:M129" si="4">F66/E66</f>
        <v>407</v>
      </c>
      <c r="N66" s="2">
        <f t="shared" ref="N66:N129" si="5">E66/H66</f>
        <v>11.888888888888889</v>
      </c>
    </row>
    <row r="67" spans="1:14" x14ac:dyDescent="0.25">
      <c r="A67" s="5" t="s">
        <v>46</v>
      </c>
      <c r="B67" s="5" t="s">
        <v>15</v>
      </c>
      <c r="C67" s="5" t="s">
        <v>16</v>
      </c>
      <c r="D67" s="5" t="s">
        <v>19</v>
      </c>
      <c r="E67" s="5">
        <v>24</v>
      </c>
      <c r="F67" s="5">
        <v>5016</v>
      </c>
      <c r="G67" s="5">
        <v>1439</v>
      </c>
      <c r="H67" s="5">
        <v>4</v>
      </c>
      <c r="I67" s="5">
        <v>51</v>
      </c>
      <c r="J67" s="5">
        <v>3</v>
      </c>
      <c r="K67" s="5">
        <v>3.9</v>
      </c>
      <c r="L67" s="6">
        <f t="shared" si="3"/>
        <v>0.28688197767145135</v>
      </c>
      <c r="M67" s="7">
        <f t="shared" si="4"/>
        <v>209</v>
      </c>
      <c r="N67" s="5">
        <f t="shared" si="5"/>
        <v>6</v>
      </c>
    </row>
    <row r="68" spans="1:14" x14ac:dyDescent="0.25">
      <c r="A68" s="2" t="s">
        <v>47</v>
      </c>
      <c r="B68" s="2" t="s">
        <v>15</v>
      </c>
      <c r="C68" s="2" t="s">
        <v>21</v>
      </c>
      <c r="D68" s="2" t="s">
        <v>17</v>
      </c>
      <c r="E68" s="2">
        <v>42</v>
      </c>
      <c r="F68" s="2">
        <v>10290</v>
      </c>
      <c r="G68" s="2">
        <v>3012</v>
      </c>
      <c r="H68" s="2">
        <v>4</v>
      </c>
      <c r="I68" s="2">
        <v>48</v>
      </c>
      <c r="J68" s="2">
        <v>2</v>
      </c>
      <c r="K68" s="2">
        <v>3.9</v>
      </c>
      <c r="L68" s="3">
        <f t="shared" si="3"/>
        <v>0.29271137026239069</v>
      </c>
      <c r="M68" s="4">
        <f t="shared" si="4"/>
        <v>245</v>
      </c>
      <c r="N68" s="2">
        <f t="shared" si="5"/>
        <v>10.5</v>
      </c>
    </row>
    <row r="69" spans="1:14" x14ac:dyDescent="0.25">
      <c r="A69" s="5" t="s">
        <v>47</v>
      </c>
      <c r="B69" s="5" t="s">
        <v>15</v>
      </c>
      <c r="C69" s="5" t="s">
        <v>21</v>
      </c>
      <c r="D69" s="5" t="s">
        <v>18</v>
      </c>
      <c r="E69" s="5">
        <v>102</v>
      </c>
      <c r="F69" s="5">
        <v>29478</v>
      </c>
      <c r="G69" s="5">
        <v>8813</v>
      </c>
      <c r="H69" s="5">
        <v>8</v>
      </c>
      <c r="I69" s="5">
        <v>59</v>
      </c>
      <c r="J69" s="5">
        <v>1</v>
      </c>
      <c r="K69" s="5">
        <v>3.6</v>
      </c>
      <c r="L69" s="6">
        <f t="shared" si="3"/>
        <v>0.29896872243707173</v>
      </c>
      <c r="M69" s="7">
        <f t="shared" si="4"/>
        <v>289</v>
      </c>
      <c r="N69" s="5">
        <f t="shared" si="5"/>
        <v>12.75</v>
      </c>
    </row>
    <row r="70" spans="1:14" x14ac:dyDescent="0.25">
      <c r="A70" s="2" t="s">
        <v>47</v>
      </c>
      <c r="B70" s="2" t="s">
        <v>15</v>
      </c>
      <c r="C70" s="2" t="s">
        <v>21</v>
      </c>
      <c r="D70" s="2" t="s">
        <v>19</v>
      </c>
      <c r="E70" s="2">
        <v>34</v>
      </c>
      <c r="F70" s="2">
        <v>11662</v>
      </c>
      <c r="G70" s="2">
        <v>4759</v>
      </c>
      <c r="H70" s="2">
        <v>6</v>
      </c>
      <c r="I70" s="2">
        <v>43</v>
      </c>
      <c r="J70" s="2">
        <v>2</v>
      </c>
      <c r="K70" s="2">
        <v>4.5999999999999996</v>
      </c>
      <c r="L70" s="3">
        <f t="shared" si="3"/>
        <v>0.40807751672097409</v>
      </c>
      <c r="M70" s="4">
        <f t="shared" si="4"/>
        <v>343</v>
      </c>
      <c r="N70" s="2">
        <f t="shared" si="5"/>
        <v>5.666666666666667</v>
      </c>
    </row>
    <row r="71" spans="1:14" x14ac:dyDescent="0.25">
      <c r="A71" s="5" t="s">
        <v>48</v>
      </c>
      <c r="B71" s="5" t="s">
        <v>15</v>
      </c>
      <c r="C71" s="5" t="s">
        <v>23</v>
      </c>
      <c r="D71" s="5" t="s">
        <v>17</v>
      </c>
      <c r="E71" s="5">
        <v>48</v>
      </c>
      <c r="F71" s="5">
        <v>10176</v>
      </c>
      <c r="G71" s="5">
        <v>2871</v>
      </c>
      <c r="H71" s="5">
        <v>4</v>
      </c>
      <c r="I71" s="5">
        <v>43</v>
      </c>
      <c r="J71" s="5">
        <v>1</v>
      </c>
      <c r="K71" s="5">
        <v>4</v>
      </c>
      <c r="L71" s="6">
        <f t="shared" si="3"/>
        <v>0.28213443396226418</v>
      </c>
      <c r="M71" s="7">
        <f t="shared" si="4"/>
        <v>212</v>
      </c>
      <c r="N71" s="5">
        <f t="shared" si="5"/>
        <v>12</v>
      </c>
    </row>
    <row r="72" spans="1:14" x14ac:dyDescent="0.25">
      <c r="A72" s="2" t="s">
        <v>48</v>
      </c>
      <c r="B72" s="2" t="s">
        <v>15</v>
      </c>
      <c r="C72" s="2" t="s">
        <v>23</v>
      </c>
      <c r="D72" s="2" t="s">
        <v>18</v>
      </c>
      <c r="E72" s="2">
        <v>84</v>
      </c>
      <c r="F72" s="2">
        <v>39060</v>
      </c>
      <c r="G72" s="2">
        <v>12795</v>
      </c>
      <c r="H72" s="2">
        <v>6</v>
      </c>
      <c r="I72" s="2">
        <v>62</v>
      </c>
      <c r="J72" s="2">
        <v>3</v>
      </c>
      <c r="K72" s="2">
        <v>4.5999999999999996</v>
      </c>
      <c r="L72" s="3">
        <f t="shared" si="3"/>
        <v>0.32757296466973884</v>
      </c>
      <c r="M72" s="4">
        <f t="shared" si="4"/>
        <v>465</v>
      </c>
      <c r="N72" s="2">
        <f t="shared" si="5"/>
        <v>14</v>
      </c>
    </row>
    <row r="73" spans="1:14" x14ac:dyDescent="0.25">
      <c r="A73" s="5" t="s">
        <v>48</v>
      </c>
      <c r="B73" s="5" t="s">
        <v>15</v>
      </c>
      <c r="C73" s="5" t="s">
        <v>23</v>
      </c>
      <c r="D73" s="5" t="s">
        <v>19</v>
      </c>
      <c r="E73" s="5">
        <v>37</v>
      </c>
      <c r="F73" s="5">
        <v>7696</v>
      </c>
      <c r="G73" s="5">
        <v>3010</v>
      </c>
      <c r="H73" s="5">
        <v>4</v>
      </c>
      <c r="I73" s="5">
        <v>65</v>
      </c>
      <c r="J73" s="5">
        <v>3</v>
      </c>
      <c r="K73" s="5">
        <v>4.2</v>
      </c>
      <c r="L73" s="6">
        <f t="shared" si="3"/>
        <v>0.39111226611226613</v>
      </c>
      <c r="M73" s="7">
        <f t="shared" si="4"/>
        <v>208</v>
      </c>
      <c r="N73" s="5">
        <f t="shared" si="5"/>
        <v>9.25</v>
      </c>
    </row>
    <row r="74" spans="1:14" x14ac:dyDescent="0.25">
      <c r="A74" s="2" t="s">
        <v>49</v>
      </c>
      <c r="B74" s="2" t="s">
        <v>15</v>
      </c>
      <c r="C74" s="2" t="s">
        <v>25</v>
      </c>
      <c r="D74" s="2" t="s">
        <v>17</v>
      </c>
      <c r="E74" s="2">
        <v>32</v>
      </c>
      <c r="F74" s="2">
        <v>7360</v>
      </c>
      <c r="G74" s="2">
        <v>2194</v>
      </c>
      <c r="H74" s="2">
        <v>4</v>
      </c>
      <c r="I74" s="2">
        <v>38</v>
      </c>
      <c r="J74" s="2">
        <v>1</v>
      </c>
      <c r="K74" s="2">
        <v>4.4000000000000004</v>
      </c>
      <c r="L74" s="3">
        <f t="shared" si="3"/>
        <v>0.29809782608695651</v>
      </c>
      <c r="M74" s="4">
        <f t="shared" si="4"/>
        <v>230</v>
      </c>
      <c r="N74" s="2">
        <f t="shared" si="5"/>
        <v>8</v>
      </c>
    </row>
    <row r="75" spans="1:14" x14ac:dyDescent="0.25">
      <c r="A75" s="5" t="s">
        <v>49</v>
      </c>
      <c r="B75" s="5" t="s">
        <v>15</v>
      </c>
      <c r="C75" s="5" t="s">
        <v>25</v>
      </c>
      <c r="D75" s="5" t="s">
        <v>18</v>
      </c>
      <c r="E75" s="5">
        <v>85</v>
      </c>
      <c r="F75" s="5">
        <v>37570</v>
      </c>
      <c r="G75" s="5">
        <v>13642</v>
      </c>
      <c r="H75" s="5">
        <v>7</v>
      </c>
      <c r="I75" s="5">
        <v>62</v>
      </c>
      <c r="J75" s="5">
        <v>2</v>
      </c>
      <c r="K75" s="5">
        <v>4.4000000000000004</v>
      </c>
      <c r="L75" s="6">
        <f t="shared" si="3"/>
        <v>0.36310886345488419</v>
      </c>
      <c r="M75" s="7">
        <f t="shared" si="4"/>
        <v>442</v>
      </c>
      <c r="N75" s="5">
        <f t="shared" si="5"/>
        <v>12.142857142857142</v>
      </c>
    </row>
    <row r="76" spans="1:14" x14ac:dyDescent="0.25">
      <c r="A76" s="2" t="s">
        <v>49</v>
      </c>
      <c r="B76" s="2" t="s">
        <v>15</v>
      </c>
      <c r="C76" s="2" t="s">
        <v>25</v>
      </c>
      <c r="D76" s="2" t="s">
        <v>19</v>
      </c>
      <c r="E76" s="2">
        <v>35</v>
      </c>
      <c r="F76" s="2">
        <v>8120</v>
      </c>
      <c r="G76" s="2">
        <v>3032</v>
      </c>
      <c r="H76" s="2">
        <v>4</v>
      </c>
      <c r="I76" s="2">
        <v>43</v>
      </c>
      <c r="J76" s="2">
        <v>0</v>
      </c>
      <c r="K76" s="2">
        <v>3.7</v>
      </c>
      <c r="L76" s="3">
        <f t="shared" si="3"/>
        <v>0.3733990147783251</v>
      </c>
      <c r="M76" s="4">
        <f t="shared" si="4"/>
        <v>232</v>
      </c>
      <c r="N76" s="2">
        <f t="shared" si="5"/>
        <v>8.75</v>
      </c>
    </row>
    <row r="77" spans="1:14" x14ac:dyDescent="0.25">
      <c r="A77" s="5" t="s">
        <v>50</v>
      </c>
      <c r="B77" s="5" t="s">
        <v>15</v>
      </c>
      <c r="C77" s="5" t="s">
        <v>27</v>
      </c>
      <c r="D77" s="5" t="s">
        <v>17</v>
      </c>
      <c r="E77" s="5">
        <v>63</v>
      </c>
      <c r="F77" s="5">
        <v>12222</v>
      </c>
      <c r="G77" s="5">
        <v>4191</v>
      </c>
      <c r="H77" s="5">
        <v>5</v>
      </c>
      <c r="I77" s="5">
        <v>39</v>
      </c>
      <c r="J77" s="5">
        <v>0</v>
      </c>
      <c r="K77" s="5">
        <v>4.3</v>
      </c>
      <c r="L77" s="6">
        <f t="shared" si="3"/>
        <v>0.34290623465881198</v>
      </c>
      <c r="M77" s="7">
        <f t="shared" si="4"/>
        <v>194</v>
      </c>
      <c r="N77" s="5">
        <f t="shared" si="5"/>
        <v>12.6</v>
      </c>
    </row>
    <row r="78" spans="1:14" x14ac:dyDescent="0.25">
      <c r="A78" s="2" t="s">
        <v>50</v>
      </c>
      <c r="B78" s="2" t="s">
        <v>15</v>
      </c>
      <c r="C78" s="2" t="s">
        <v>27</v>
      </c>
      <c r="D78" s="2" t="s">
        <v>18</v>
      </c>
      <c r="E78" s="2">
        <v>175</v>
      </c>
      <c r="F78" s="2">
        <v>55650</v>
      </c>
      <c r="G78" s="2">
        <v>21611</v>
      </c>
      <c r="H78" s="2">
        <v>6</v>
      </c>
      <c r="I78" s="2">
        <v>67</v>
      </c>
      <c r="J78" s="2">
        <v>2</v>
      </c>
      <c r="K78" s="2">
        <v>4.3</v>
      </c>
      <c r="L78" s="3">
        <f t="shared" si="3"/>
        <v>0.38833782569631625</v>
      </c>
      <c r="M78" s="4">
        <f t="shared" si="4"/>
        <v>318</v>
      </c>
      <c r="N78" s="2">
        <f t="shared" si="5"/>
        <v>29.166666666666668</v>
      </c>
    </row>
    <row r="79" spans="1:14" x14ac:dyDescent="0.25">
      <c r="A79" s="5" t="s">
        <v>50</v>
      </c>
      <c r="B79" s="5" t="s">
        <v>15</v>
      </c>
      <c r="C79" s="5" t="s">
        <v>27</v>
      </c>
      <c r="D79" s="5" t="s">
        <v>19</v>
      </c>
      <c r="E79" s="5">
        <v>86</v>
      </c>
      <c r="F79" s="5">
        <v>22102</v>
      </c>
      <c r="G79" s="5">
        <v>8572</v>
      </c>
      <c r="H79" s="5">
        <v>7</v>
      </c>
      <c r="I79" s="5">
        <v>52</v>
      </c>
      <c r="J79" s="5">
        <v>3</v>
      </c>
      <c r="K79" s="5">
        <v>4.3</v>
      </c>
      <c r="L79" s="6">
        <f t="shared" si="3"/>
        <v>0.38783820468735863</v>
      </c>
      <c r="M79" s="7">
        <f t="shared" si="4"/>
        <v>257</v>
      </c>
      <c r="N79" s="5">
        <f t="shared" si="5"/>
        <v>12.285714285714286</v>
      </c>
    </row>
    <row r="80" spans="1:14" x14ac:dyDescent="0.25">
      <c r="A80" s="2" t="s">
        <v>51</v>
      </c>
      <c r="B80" s="2" t="s">
        <v>15</v>
      </c>
      <c r="C80" s="2" t="s">
        <v>29</v>
      </c>
      <c r="D80" s="2" t="s">
        <v>17</v>
      </c>
      <c r="E80" s="2">
        <v>33</v>
      </c>
      <c r="F80" s="2">
        <v>6765</v>
      </c>
      <c r="G80" s="2">
        <v>2092</v>
      </c>
      <c r="H80" s="2">
        <v>5</v>
      </c>
      <c r="I80" s="2">
        <v>41</v>
      </c>
      <c r="J80" s="2">
        <v>1</v>
      </c>
      <c r="K80" s="2">
        <v>4.4000000000000004</v>
      </c>
      <c r="L80" s="3">
        <f t="shared" si="3"/>
        <v>0.3092387287509239</v>
      </c>
      <c r="M80" s="4">
        <f t="shared" si="4"/>
        <v>205</v>
      </c>
      <c r="N80" s="2">
        <f t="shared" si="5"/>
        <v>6.6</v>
      </c>
    </row>
    <row r="81" spans="1:14" x14ac:dyDescent="0.25">
      <c r="A81" s="5" t="s">
        <v>51</v>
      </c>
      <c r="B81" s="5" t="s">
        <v>15</v>
      </c>
      <c r="C81" s="5" t="s">
        <v>29</v>
      </c>
      <c r="D81" s="5" t="s">
        <v>18</v>
      </c>
      <c r="E81" s="5">
        <v>119</v>
      </c>
      <c r="F81" s="5">
        <v>36176</v>
      </c>
      <c r="G81" s="5">
        <v>12912</v>
      </c>
      <c r="H81" s="5">
        <v>10</v>
      </c>
      <c r="I81" s="5">
        <v>72</v>
      </c>
      <c r="J81" s="5">
        <v>4</v>
      </c>
      <c r="K81" s="5">
        <v>4.5</v>
      </c>
      <c r="L81" s="6">
        <f t="shared" si="3"/>
        <v>0.35692171605484296</v>
      </c>
      <c r="M81" s="7">
        <f t="shared" si="4"/>
        <v>304</v>
      </c>
      <c r="N81" s="5">
        <f t="shared" si="5"/>
        <v>11.9</v>
      </c>
    </row>
    <row r="82" spans="1:14" x14ac:dyDescent="0.25">
      <c r="A82" s="2" t="s">
        <v>51</v>
      </c>
      <c r="B82" s="2" t="s">
        <v>15</v>
      </c>
      <c r="C82" s="2" t="s">
        <v>29</v>
      </c>
      <c r="D82" s="2" t="s">
        <v>19</v>
      </c>
      <c r="E82" s="2">
        <v>83</v>
      </c>
      <c r="F82" s="2">
        <v>27307</v>
      </c>
      <c r="G82" s="2">
        <v>9830</v>
      </c>
      <c r="H82" s="2">
        <v>5</v>
      </c>
      <c r="I82" s="2">
        <v>45</v>
      </c>
      <c r="J82" s="2">
        <v>2</v>
      </c>
      <c r="K82" s="2">
        <v>4.0999999999999996</v>
      </c>
      <c r="L82" s="3">
        <f t="shared" si="3"/>
        <v>0.35998095726370527</v>
      </c>
      <c r="M82" s="4">
        <f t="shared" si="4"/>
        <v>329</v>
      </c>
      <c r="N82" s="2">
        <f t="shared" si="5"/>
        <v>16.600000000000001</v>
      </c>
    </row>
    <row r="83" spans="1:14" x14ac:dyDescent="0.25">
      <c r="A83" s="5" t="s">
        <v>52</v>
      </c>
      <c r="B83" s="5" t="s">
        <v>15</v>
      </c>
      <c r="C83" s="5" t="s">
        <v>31</v>
      </c>
      <c r="D83" s="5" t="s">
        <v>17</v>
      </c>
      <c r="E83" s="5">
        <v>41</v>
      </c>
      <c r="F83" s="5">
        <v>7708</v>
      </c>
      <c r="G83" s="5">
        <v>2733</v>
      </c>
      <c r="H83" s="5">
        <v>3</v>
      </c>
      <c r="I83" s="5">
        <v>35</v>
      </c>
      <c r="J83" s="5">
        <v>1</v>
      </c>
      <c r="K83" s="5">
        <v>4.3</v>
      </c>
      <c r="L83" s="6">
        <f t="shared" si="3"/>
        <v>0.35456668396471197</v>
      </c>
      <c r="M83" s="7">
        <f t="shared" si="4"/>
        <v>188</v>
      </c>
      <c r="N83" s="5">
        <f t="shared" si="5"/>
        <v>13.666666666666666</v>
      </c>
    </row>
    <row r="84" spans="1:14" x14ac:dyDescent="0.25">
      <c r="A84" s="2" t="s">
        <v>52</v>
      </c>
      <c r="B84" s="2" t="s">
        <v>15</v>
      </c>
      <c r="C84" s="2" t="s">
        <v>31</v>
      </c>
      <c r="D84" s="2" t="s">
        <v>18</v>
      </c>
      <c r="E84" s="2">
        <v>140</v>
      </c>
      <c r="F84" s="2">
        <v>53200</v>
      </c>
      <c r="G84" s="2">
        <v>17093</v>
      </c>
      <c r="H84" s="2">
        <v>10</v>
      </c>
      <c r="I84" s="2">
        <v>52</v>
      </c>
      <c r="J84" s="2">
        <v>3</v>
      </c>
      <c r="K84" s="2">
        <v>4.5999999999999996</v>
      </c>
      <c r="L84" s="3">
        <f t="shared" si="3"/>
        <v>0.32129699248120303</v>
      </c>
      <c r="M84" s="4">
        <f t="shared" si="4"/>
        <v>380</v>
      </c>
      <c r="N84" s="2">
        <f t="shared" si="5"/>
        <v>14</v>
      </c>
    </row>
    <row r="85" spans="1:14" x14ac:dyDescent="0.25">
      <c r="A85" s="5" t="s">
        <v>52</v>
      </c>
      <c r="B85" s="5" t="s">
        <v>15</v>
      </c>
      <c r="C85" s="5" t="s">
        <v>31</v>
      </c>
      <c r="D85" s="5" t="s">
        <v>19</v>
      </c>
      <c r="E85" s="5">
        <v>83</v>
      </c>
      <c r="F85" s="5">
        <v>26228</v>
      </c>
      <c r="G85" s="5">
        <v>8836</v>
      </c>
      <c r="H85" s="5">
        <v>6</v>
      </c>
      <c r="I85" s="5">
        <v>51</v>
      </c>
      <c r="J85" s="5">
        <v>0</v>
      </c>
      <c r="K85" s="5">
        <v>4.5999999999999996</v>
      </c>
      <c r="L85" s="6">
        <f t="shared" si="3"/>
        <v>0.33689187128259873</v>
      </c>
      <c r="M85" s="7">
        <f t="shared" si="4"/>
        <v>316</v>
      </c>
      <c r="N85" s="5">
        <f t="shared" si="5"/>
        <v>13.833333333333334</v>
      </c>
    </row>
    <row r="86" spans="1:14" x14ac:dyDescent="0.25">
      <c r="A86" s="2" t="s">
        <v>53</v>
      </c>
      <c r="B86" s="2" t="s">
        <v>15</v>
      </c>
      <c r="C86" s="2" t="s">
        <v>16</v>
      </c>
      <c r="D86" s="2" t="s">
        <v>17</v>
      </c>
      <c r="E86" s="2">
        <v>21</v>
      </c>
      <c r="F86" s="2">
        <v>4389</v>
      </c>
      <c r="G86" s="2">
        <v>1418</v>
      </c>
      <c r="H86" s="2">
        <v>5</v>
      </c>
      <c r="I86" s="2">
        <v>54</v>
      </c>
      <c r="J86" s="2">
        <v>0</v>
      </c>
      <c r="K86" s="2">
        <v>4.5</v>
      </c>
      <c r="L86" s="3">
        <f t="shared" si="3"/>
        <v>0.32308042834358625</v>
      </c>
      <c r="M86" s="4">
        <f t="shared" si="4"/>
        <v>209</v>
      </c>
      <c r="N86" s="2">
        <f t="shared" si="5"/>
        <v>4.2</v>
      </c>
    </row>
    <row r="87" spans="1:14" x14ac:dyDescent="0.25">
      <c r="A87" s="5" t="s">
        <v>53</v>
      </c>
      <c r="B87" s="5" t="s">
        <v>15</v>
      </c>
      <c r="C87" s="5" t="s">
        <v>16</v>
      </c>
      <c r="D87" s="5" t="s">
        <v>18</v>
      </c>
      <c r="E87" s="5">
        <v>78</v>
      </c>
      <c r="F87" s="5">
        <v>23712</v>
      </c>
      <c r="G87" s="5">
        <v>8098</v>
      </c>
      <c r="H87" s="5">
        <v>9</v>
      </c>
      <c r="I87" s="5">
        <v>51</v>
      </c>
      <c r="J87" s="5">
        <v>3</v>
      </c>
      <c r="K87" s="5">
        <v>3.9</v>
      </c>
      <c r="L87" s="6">
        <f t="shared" si="3"/>
        <v>0.34151484480431848</v>
      </c>
      <c r="M87" s="7">
        <f t="shared" si="4"/>
        <v>304</v>
      </c>
      <c r="N87" s="5">
        <f t="shared" si="5"/>
        <v>8.6666666666666661</v>
      </c>
    </row>
    <row r="88" spans="1:14" x14ac:dyDescent="0.25">
      <c r="A88" s="2" t="s">
        <v>53</v>
      </c>
      <c r="B88" s="2" t="s">
        <v>15</v>
      </c>
      <c r="C88" s="2" t="s">
        <v>16</v>
      </c>
      <c r="D88" s="2" t="s">
        <v>19</v>
      </c>
      <c r="E88" s="2">
        <v>24</v>
      </c>
      <c r="F88" s="2">
        <v>6528</v>
      </c>
      <c r="G88" s="2">
        <v>2219</v>
      </c>
      <c r="H88" s="2">
        <v>6</v>
      </c>
      <c r="I88" s="2">
        <v>49</v>
      </c>
      <c r="J88" s="2">
        <v>0</v>
      </c>
      <c r="K88" s="2">
        <v>3.9</v>
      </c>
      <c r="L88" s="3">
        <f t="shared" si="3"/>
        <v>0.33992034313725489</v>
      </c>
      <c r="M88" s="4">
        <f t="shared" si="4"/>
        <v>272</v>
      </c>
      <c r="N88" s="2">
        <f t="shared" si="5"/>
        <v>4</v>
      </c>
    </row>
    <row r="89" spans="1:14" x14ac:dyDescent="0.25">
      <c r="A89" s="5" t="s">
        <v>54</v>
      </c>
      <c r="B89" s="5" t="s">
        <v>15</v>
      </c>
      <c r="C89" s="5" t="s">
        <v>21</v>
      </c>
      <c r="D89" s="5" t="s">
        <v>17</v>
      </c>
      <c r="E89" s="5">
        <v>31</v>
      </c>
      <c r="F89" s="5">
        <v>6975</v>
      </c>
      <c r="G89" s="5">
        <v>2036</v>
      </c>
      <c r="H89" s="5">
        <v>3</v>
      </c>
      <c r="I89" s="5">
        <v>55</v>
      </c>
      <c r="J89" s="5">
        <v>0</v>
      </c>
      <c r="K89" s="5">
        <v>4.0999999999999996</v>
      </c>
      <c r="L89" s="6">
        <f t="shared" si="3"/>
        <v>0.29189964157706094</v>
      </c>
      <c r="M89" s="7">
        <f t="shared" si="4"/>
        <v>225</v>
      </c>
      <c r="N89" s="5">
        <f t="shared" si="5"/>
        <v>10.333333333333334</v>
      </c>
    </row>
    <row r="90" spans="1:14" x14ac:dyDescent="0.25">
      <c r="A90" s="2" t="s">
        <v>54</v>
      </c>
      <c r="B90" s="2" t="s">
        <v>15</v>
      </c>
      <c r="C90" s="2" t="s">
        <v>21</v>
      </c>
      <c r="D90" s="2" t="s">
        <v>18</v>
      </c>
      <c r="E90" s="2">
        <v>103</v>
      </c>
      <c r="F90" s="2">
        <v>32033</v>
      </c>
      <c r="G90" s="2">
        <v>12067</v>
      </c>
      <c r="H90" s="2">
        <v>8</v>
      </c>
      <c r="I90" s="2">
        <v>72</v>
      </c>
      <c r="J90" s="2">
        <v>3</v>
      </c>
      <c r="K90" s="2">
        <v>4.7</v>
      </c>
      <c r="L90" s="3">
        <f t="shared" si="3"/>
        <v>0.37670527268754095</v>
      </c>
      <c r="M90" s="4">
        <f t="shared" si="4"/>
        <v>311</v>
      </c>
      <c r="N90" s="2">
        <f t="shared" si="5"/>
        <v>12.875</v>
      </c>
    </row>
    <row r="91" spans="1:14" x14ac:dyDescent="0.25">
      <c r="A91" s="5" t="s">
        <v>54</v>
      </c>
      <c r="B91" s="5" t="s">
        <v>15</v>
      </c>
      <c r="C91" s="5" t="s">
        <v>21</v>
      </c>
      <c r="D91" s="5" t="s">
        <v>19</v>
      </c>
      <c r="E91" s="5">
        <v>62</v>
      </c>
      <c r="F91" s="5">
        <v>13330</v>
      </c>
      <c r="G91" s="5">
        <v>5389</v>
      </c>
      <c r="H91" s="5">
        <v>7</v>
      </c>
      <c r="I91" s="5">
        <v>49</v>
      </c>
      <c r="J91" s="5">
        <v>1</v>
      </c>
      <c r="K91" s="5">
        <v>4.3</v>
      </c>
      <c r="L91" s="6">
        <f t="shared" si="3"/>
        <v>0.40427606901725432</v>
      </c>
      <c r="M91" s="7">
        <f t="shared" si="4"/>
        <v>215</v>
      </c>
      <c r="N91" s="5">
        <f t="shared" si="5"/>
        <v>8.8571428571428577</v>
      </c>
    </row>
    <row r="92" spans="1:14" x14ac:dyDescent="0.25">
      <c r="A92" s="2" t="s">
        <v>55</v>
      </c>
      <c r="B92" s="2" t="s">
        <v>15</v>
      </c>
      <c r="C92" s="2" t="s">
        <v>23</v>
      </c>
      <c r="D92" s="2" t="s">
        <v>17</v>
      </c>
      <c r="E92" s="2">
        <v>50</v>
      </c>
      <c r="F92" s="2">
        <v>13500</v>
      </c>
      <c r="G92" s="2">
        <v>4083</v>
      </c>
      <c r="H92" s="2">
        <v>3</v>
      </c>
      <c r="I92" s="2">
        <v>35</v>
      </c>
      <c r="J92" s="2">
        <v>1</v>
      </c>
      <c r="K92" s="2">
        <v>4.4000000000000004</v>
      </c>
      <c r="L92" s="3">
        <f t="shared" si="3"/>
        <v>0.30244444444444446</v>
      </c>
      <c r="M92" s="4">
        <f t="shared" si="4"/>
        <v>270</v>
      </c>
      <c r="N92" s="2">
        <f t="shared" si="5"/>
        <v>16.666666666666668</v>
      </c>
    </row>
    <row r="93" spans="1:14" x14ac:dyDescent="0.25">
      <c r="A93" s="5" t="s">
        <v>55</v>
      </c>
      <c r="B93" s="5" t="s">
        <v>15</v>
      </c>
      <c r="C93" s="5" t="s">
        <v>23</v>
      </c>
      <c r="D93" s="5" t="s">
        <v>18</v>
      </c>
      <c r="E93" s="5">
        <v>112</v>
      </c>
      <c r="F93" s="5">
        <v>32256</v>
      </c>
      <c r="G93" s="5">
        <v>10980</v>
      </c>
      <c r="H93" s="5">
        <v>9</v>
      </c>
      <c r="I93" s="5">
        <v>56</v>
      </c>
      <c r="J93" s="5">
        <v>4</v>
      </c>
      <c r="K93" s="5">
        <v>4.5</v>
      </c>
      <c r="L93" s="6">
        <f t="shared" si="3"/>
        <v>0.3404017857142857</v>
      </c>
      <c r="M93" s="7">
        <f t="shared" si="4"/>
        <v>288</v>
      </c>
      <c r="N93" s="5">
        <f t="shared" si="5"/>
        <v>12.444444444444445</v>
      </c>
    </row>
    <row r="94" spans="1:14" x14ac:dyDescent="0.25">
      <c r="A94" s="2" t="s">
        <v>55</v>
      </c>
      <c r="B94" s="2" t="s">
        <v>15</v>
      </c>
      <c r="C94" s="2" t="s">
        <v>23</v>
      </c>
      <c r="D94" s="2" t="s">
        <v>19</v>
      </c>
      <c r="E94" s="2">
        <v>32</v>
      </c>
      <c r="F94" s="2">
        <v>6720</v>
      </c>
      <c r="G94" s="2">
        <v>2822</v>
      </c>
      <c r="H94" s="2">
        <v>5</v>
      </c>
      <c r="I94" s="2">
        <v>52</v>
      </c>
      <c r="J94" s="2">
        <v>2</v>
      </c>
      <c r="K94" s="2">
        <v>4.5</v>
      </c>
      <c r="L94" s="3">
        <f t="shared" si="3"/>
        <v>0.4199404761904762</v>
      </c>
      <c r="M94" s="4">
        <f t="shared" si="4"/>
        <v>210</v>
      </c>
      <c r="N94" s="2">
        <f t="shared" si="5"/>
        <v>6.4</v>
      </c>
    </row>
    <row r="95" spans="1:14" x14ac:dyDescent="0.25">
      <c r="A95" s="5" t="s">
        <v>56</v>
      </c>
      <c r="B95" s="5" t="s">
        <v>57</v>
      </c>
      <c r="C95" s="5" t="s">
        <v>25</v>
      </c>
      <c r="D95" s="5" t="s">
        <v>17</v>
      </c>
      <c r="E95" s="5">
        <v>29</v>
      </c>
      <c r="F95" s="5">
        <v>6670</v>
      </c>
      <c r="G95" s="5">
        <v>2212</v>
      </c>
      <c r="H95" s="5">
        <v>5</v>
      </c>
      <c r="I95" s="5">
        <v>51</v>
      </c>
      <c r="J95" s="5">
        <v>1</v>
      </c>
      <c r="K95" s="5">
        <v>4.5</v>
      </c>
      <c r="L95" s="6">
        <f t="shared" si="3"/>
        <v>0.33163418290854574</v>
      </c>
      <c r="M95" s="7">
        <f t="shared" si="4"/>
        <v>230</v>
      </c>
      <c r="N95" s="5">
        <f t="shared" si="5"/>
        <v>5.8</v>
      </c>
    </row>
    <row r="96" spans="1:14" x14ac:dyDescent="0.25">
      <c r="A96" s="2" t="s">
        <v>56</v>
      </c>
      <c r="B96" s="2" t="s">
        <v>57</v>
      </c>
      <c r="C96" s="2" t="s">
        <v>25</v>
      </c>
      <c r="D96" s="2" t="s">
        <v>18</v>
      </c>
      <c r="E96" s="2">
        <v>94</v>
      </c>
      <c r="F96" s="2">
        <v>44556</v>
      </c>
      <c r="G96" s="2">
        <v>17736</v>
      </c>
      <c r="H96" s="2">
        <v>10</v>
      </c>
      <c r="I96" s="2">
        <v>63</v>
      </c>
      <c r="J96" s="2">
        <v>0</v>
      </c>
      <c r="K96" s="2">
        <v>4</v>
      </c>
      <c r="L96" s="3">
        <f t="shared" si="3"/>
        <v>0.39806086722326961</v>
      </c>
      <c r="M96" s="4">
        <f t="shared" si="4"/>
        <v>474</v>
      </c>
      <c r="N96" s="2">
        <f t="shared" si="5"/>
        <v>9.4</v>
      </c>
    </row>
    <row r="97" spans="1:14" x14ac:dyDescent="0.25">
      <c r="A97" s="5" t="s">
        <v>56</v>
      </c>
      <c r="B97" s="5" t="s">
        <v>57</v>
      </c>
      <c r="C97" s="5" t="s">
        <v>25</v>
      </c>
      <c r="D97" s="5" t="s">
        <v>19</v>
      </c>
      <c r="E97" s="5">
        <v>62</v>
      </c>
      <c r="F97" s="5">
        <v>21514</v>
      </c>
      <c r="G97" s="5">
        <v>7298</v>
      </c>
      <c r="H97" s="5">
        <v>5</v>
      </c>
      <c r="I97" s="5">
        <v>40</v>
      </c>
      <c r="J97" s="5">
        <v>0</v>
      </c>
      <c r="K97" s="5">
        <v>4.5</v>
      </c>
      <c r="L97" s="6">
        <f t="shared" si="3"/>
        <v>0.3392209723900716</v>
      </c>
      <c r="M97" s="7">
        <f t="shared" si="4"/>
        <v>347</v>
      </c>
      <c r="N97" s="5">
        <f t="shared" si="5"/>
        <v>12.4</v>
      </c>
    </row>
    <row r="98" spans="1:14" x14ac:dyDescent="0.25">
      <c r="A98" s="2" t="s">
        <v>58</v>
      </c>
      <c r="B98" s="2" t="s">
        <v>57</v>
      </c>
      <c r="C98" s="2" t="s">
        <v>27</v>
      </c>
      <c r="D98" s="2" t="s">
        <v>17</v>
      </c>
      <c r="E98" s="2">
        <v>30</v>
      </c>
      <c r="F98" s="2">
        <v>8370</v>
      </c>
      <c r="G98" s="2">
        <v>2898</v>
      </c>
      <c r="H98" s="2">
        <v>3</v>
      </c>
      <c r="I98" s="2">
        <v>45</v>
      </c>
      <c r="J98" s="2">
        <v>1</v>
      </c>
      <c r="K98" s="2">
        <v>4</v>
      </c>
      <c r="L98" s="3">
        <f t="shared" si="3"/>
        <v>0.34623655913978496</v>
      </c>
      <c r="M98" s="4">
        <f t="shared" si="4"/>
        <v>279</v>
      </c>
      <c r="N98" s="2">
        <f t="shared" si="5"/>
        <v>10</v>
      </c>
    </row>
    <row r="99" spans="1:14" x14ac:dyDescent="0.25">
      <c r="A99" s="5" t="s">
        <v>58</v>
      </c>
      <c r="B99" s="5" t="s">
        <v>57</v>
      </c>
      <c r="C99" s="5" t="s">
        <v>27</v>
      </c>
      <c r="D99" s="5" t="s">
        <v>18</v>
      </c>
      <c r="E99" s="5">
        <v>142</v>
      </c>
      <c r="F99" s="5">
        <v>59640</v>
      </c>
      <c r="G99" s="5">
        <v>23285</v>
      </c>
      <c r="H99" s="5">
        <v>8</v>
      </c>
      <c r="I99" s="5">
        <v>49</v>
      </c>
      <c r="J99" s="5">
        <v>4</v>
      </c>
      <c r="K99" s="5">
        <v>4</v>
      </c>
      <c r="L99" s="6">
        <f t="shared" si="3"/>
        <v>0.39042588866532529</v>
      </c>
      <c r="M99" s="7">
        <f t="shared" si="4"/>
        <v>420</v>
      </c>
      <c r="N99" s="5">
        <f t="shared" si="5"/>
        <v>17.75</v>
      </c>
    </row>
    <row r="100" spans="1:14" x14ac:dyDescent="0.25">
      <c r="A100" s="2" t="s">
        <v>58</v>
      </c>
      <c r="B100" s="2" t="s">
        <v>57</v>
      </c>
      <c r="C100" s="2" t="s">
        <v>27</v>
      </c>
      <c r="D100" s="2" t="s">
        <v>19</v>
      </c>
      <c r="E100" s="2">
        <v>81</v>
      </c>
      <c r="F100" s="2">
        <v>17415</v>
      </c>
      <c r="G100" s="2">
        <v>5262</v>
      </c>
      <c r="H100" s="2">
        <v>5</v>
      </c>
      <c r="I100" s="2">
        <v>53</v>
      </c>
      <c r="J100" s="2">
        <v>3</v>
      </c>
      <c r="K100" s="2">
        <v>4.4000000000000004</v>
      </c>
      <c r="L100" s="3">
        <f t="shared" si="3"/>
        <v>0.30215331610680446</v>
      </c>
      <c r="M100" s="4">
        <f t="shared" si="4"/>
        <v>215</v>
      </c>
      <c r="N100" s="2">
        <f t="shared" si="5"/>
        <v>16.2</v>
      </c>
    </row>
    <row r="101" spans="1:14" x14ac:dyDescent="0.25">
      <c r="A101" s="5" t="s">
        <v>59</v>
      </c>
      <c r="B101" s="5" t="s">
        <v>57</v>
      </c>
      <c r="C101" s="5" t="s">
        <v>29</v>
      </c>
      <c r="D101" s="5" t="s">
        <v>17</v>
      </c>
      <c r="E101" s="5">
        <v>43</v>
      </c>
      <c r="F101" s="5">
        <v>7955</v>
      </c>
      <c r="G101" s="5">
        <v>3107</v>
      </c>
      <c r="H101" s="5">
        <v>5</v>
      </c>
      <c r="I101" s="5">
        <v>38</v>
      </c>
      <c r="J101" s="5">
        <v>2</v>
      </c>
      <c r="K101" s="5">
        <v>4.2</v>
      </c>
      <c r="L101" s="6">
        <f t="shared" si="3"/>
        <v>0.39057196731615335</v>
      </c>
      <c r="M101" s="7">
        <f t="shared" si="4"/>
        <v>185</v>
      </c>
      <c r="N101" s="5">
        <f t="shared" si="5"/>
        <v>8.6</v>
      </c>
    </row>
    <row r="102" spans="1:14" x14ac:dyDescent="0.25">
      <c r="A102" s="2" t="s">
        <v>59</v>
      </c>
      <c r="B102" s="2" t="s">
        <v>57</v>
      </c>
      <c r="C102" s="2" t="s">
        <v>29</v>
      </c>
      <c r="D102" s="2" t="s">
        <v>18</v>
      </c>
      <c r="E102" s="2">
        <v>159</v>
      </c>
      <c r="F102" s="2">
        <v>49926</v>
      </c>
      <c r="G102" s="2">
        <v>19481</v>
      </c>
      <c r="H102" s="2">
        <v>7</v>
      </c>
      <c r="I102" s="2">
        <v>63</v>
      </c>
      <c r="J102" s="2">
        <v>4</v>
      </c>
      <c r="K102" s="2">
        <v>4.5999999999999996</v>
      </c>
      <c r="L102" s="3">
        <f t="shared" si="3"/>
        <v>0.39019749228858713</v>
      </c>
      <c r="M102" s="4">
        <f t="shared" si="4"/>
        <v>314</v>
      </c>
      <c r="N102" s="2">
        <f t="shared" si="5"/>
        <v>22.714285714285715</v>
      </c>
    </row>
    <row r="103" spans="1:14" x14ac:dyDescent="0.25">
      <c r="A103" s="5" t="s">
        <v>59</v>
      </c>
      <c r="B103" s="5" t="s">
        <v>57</v>
      </c>
      <c r="C103" s="5" t="s">
        <v>29</v>
      </c>
      <c r="D103" s="5" t="s">
        <v>19</v>
      </c>
      <c r="E103" s="5">
        <v>53</v>
      </c>
      <c r="F103" s="5">
        <v>16006</v>
      </c>
      <c r="G103" s="5">
        <v>4753</v>
      </c>
      <c r="H103" s="5">
        <v>5</v>
      </c>
      <c r="I103" s="5">
        <v>56</v>
      </c>
      <c r="J103" s="5">
        <v>0</v>
      </c>
      <c r="K103" s="5">
        <v>4.3</v>
      </c>
      <c r="L103" s="6">
        <f t="shared" si="3"/>
        <v>0.29695114332125455</v>
      </c>
      <c r="M103" s="7">
        <f t="shared" si="4"/>
        <v>302</v>
      </c>
      <c r="N103" s="5">
        <f t="shared" si="5"/>
        <v>10.6</v>
      </c>
    </row>
    <row r="104" spans="1:14" x14ac:dyDescent="0.25">
      <c r="A104" s="2" t="s">
        <v>60</v>
      </c>
      <c r="B104" s="2" t="s">
        <v>57</v>
      </c>
      <c r="C104" s="2" t="s">
        <v>31</v>
      </c>
      <c r="D104" s="2" t="s">
        <v>17</v>
      </c>
      <c r="E104" s="2">
        <v>41</v>
      </c>
      <c r="F104" s="2">
        <v>10701</v>
      </c>
      <c r="G104" s="2">
        <v>4154</v>
      </c>
      <c r="H104" s="2">
        <v>4</v>
      </c>
      <c r="I104" s="2">
        <v>35</v>
      </c>
      <c r="J104" s="2">
        <v>2</v>
      </c>
      <c r="K104" s="2">
        <v>3.8</v>
      </c>
      <c r="L104" s="3">
        <f t="shared" si="3"/>
        <v>0.38818801981123258</v>
      </c>
      <c r="M104" s="4">
        <f t="shared" si="4"/>
        <v>261</v>
      </c>
      <c r="N104" s="2">
        <f t="shared" si="5"/>
        <v>10.25</v>
      </c>
    </row>
    <row r="105" spans="1:14" x14ac:dyDescent="0.25">
      <c r="A105" s="5" t="s">
        <v>60</v>
      </c>
      <c r="B105" s="5" t="s">
        <v>57</v>
      </c>
      <c r="C105" s="5" t="s">
        <v>31</v>
      </c>
      <c r="D105" s="5" t="s">
        <v>18</v>
      </c>
      <c r="E105" s="5">
        <v>187</v>
      </c>
      <c r="F105" s="5">
        <v>81906</v>
      </c>
      <c r="G105" s="5">
        <v>31596</v>
      </c>
      <c r="H105" s="5">
        <v>9</v>
      </c>
      <c r="I105" s="5">
        <v>72</v>
      </c>
      <c r="J105" s="5">
        <v>3</v>
      </c>
      <c r="K105" s="5">
        <v>4.2</v>
      </c>
      <c r="L105" s="6">
        <f t="shared" si="3"/>
        <v>0.38575928503406343</v>
      </c>
      <c r="M105" s="7">
        <f t="shared" si="4"/>
        <v>438</v>
      </c>
      <c r="N105" s="5">
        <f t="shared" si="5"/>
        <v>20.777777777777779</v>
      </c>
    </row>
    <row r="106" spans="1:14" x14ac:dyDescent="0.25">
      <c r="A106" s="2" t="s">
        <v>60</v>
      </c>
      <c r="B106" s="2" t="s">
        <v>57</v>
      </c>
      <c r="C106" s="2" t="s">
        <v>31</v>
      </c>
      <c r="D106" s="2" t="s">
        <v>19</v>
      </c>
      <c r="E106" s="2">
        <v>79</v>
      </c>
      <c r="F106" s="2">
        <v>25280</v>
      </c>
      <c r="G106" s="2">
        <v>7469</v>
      </c>
      <c r="H106" s="2">
        <v>6</v>
      </c>
      <c r="I106" s="2">
        <v>45</v>
      </c>
      <c r="J106" s="2">
        <v>3</v>
      </c>
      <c r="K106" s="2">
        <v>3.9</v>
      </c>
      <c r="L106" s="3">
        <f t="shared" si="3"/>
        <v>0.2954509493670886</v>
      </c>
      <c r="M106" s="4">
        <f t="shared" si="4"/>
        <v>320</v>
      </c>
      <c r="N106" s="2">
        <f t="shared" si="5"/>
        <v>13.166666666666666</v>
      </c>
    </row>
    <row r="107" spans="1:14" x14ac:dyDescent="0.25">
      <c r="A107" s="5" t="s">
        <v>61</v>
      </c>
      <c r="B107" s="5" t="s">
        <v>57</v>
      </c>
      <c r="C107" s="5" t="s">
        <v>16</v>
      </c>
      <c r="D107" s="5" t="s">
        <v>17</v>
      </c>
      <c r="E107" s="5">
        <v>16</v>
      </c>
      <c r="F107" s="5">
        <v>3072</v>
      </c>
      <c r="G107" s="5">
        <v>1177</v>
      </c>
      <c r="H107" s="5">
        <v>3</v>
      </c>
      <c r="I107" s="5">
        <v>50</v>
      </c>
      <c r="J107" s="5">
        <v>0</v>
      </c>
      <c r="K107" s="5">
        <v>4.0999999999999996</v>
      </c>
      <c r="L107" s="6">
        <f t="shared" si="3"/>
        <v>0.38313802083333331</v>
      </c>
      <c r="M107" s="7">
        <f t="shared" si="4"/>
        <v>192</v>
      </c>
      <c r="N107" s="5">
        <f t="shared" si="5"/>
        <v>5.333333333333333</v>
      </c>
    </row>
    <row r="108" spans="1:14" x14ac:dyDescent="0.25">
      <c r="A108" s="2" t="s">
        <v>61</v>
      </c>
      <c r="B108" s="2" t="s">
        <v>57</v>
      </c>
      <c r="C108" s="2" t="s">
        <v>16</v>
      </c>
      <c r="D108" s="2" t="s">
        <v>18</v>
      </c>
      <c r="E108" s="2">
        <v>49</v>
      </c>
      <c r="F108" s="2">
        <v>22687</v>
      </c>
      <c r="G108" s="2">
        <v>7567</v>
      </c>
      <c r="H108" s="2">
        <v>6</v>
      </c>
      <c r="I108" s="2">
        <v>61</v>
      </c>
      <c r="J108" s="2">
        <v>4</v>
      </c>
      <c r="K108" s="2">
        <v>3.8</v>
      </c>
      <c r="L108" s="3">
        <f t="shared" si="3"/>
        <v>0.33353903116322126</v>
      </c>
      <c r="M108" s="4">
        <f t="shared" si="4"/>
        <v>463</v>
      </c>
      <c r="N108" s="2">
        <f t="shared" si="5"/>
        <v>8.1666666666666661</v>
      </c>
    </row>
    <row r="109" spans="1:14" x14ac:dyDescent="0.25">
      <c r="A109" s="5" t="s">
        <v>61</v>
      </c>
      <c r="B109" s="5" t="s">
        <v>57</v>
      </c>
      <c r="C109" s="5" t="s">
        <v>16</v>
      </c>
      <c r="D109" s="5" t="s">
        <v>19</v>
      </c>
      <c r="E109" s="5">
        <v>23</v>
      </c>
      <c r="F109" s="5">
        <v>5244</v>
      </c>
      <c r="G109" s="5">
        <v>1820</v>
      </c>
      <c r="H109" s="5">
        <v>4</v>
      </c>
      <c r="I109" s="5">
        <v>48</v>
      </c>
      <c r="J109" s="5">
        <v>2</v>
      </c>
      <c r="K109" s="5">
        <v>4</v>
      </c>
      <c r="L109" s="6">
        <f t="shared" si="3"/>
        <v>0.34706331045003813</v>
      </c>
      <c r="M109" s="7">
        <f t="shared" si="4"/>
        <v>228</v>
      </c>
      <c r="N109" s="5">
        <f t="shared" si="5"/>
        <v>5.75</v>
      </c>
    </row>
    <row r="110" spans="1:14" x14ac:dyDescent="0.25">
      <c r="A110" s="2" t="s">
        <v>62</v>
      </c>
      <c r="B110" s="2" t="s">
        <v>57</v>
      </c>
      <c r="C110" s="2" t="s">
        <v>21</v>
      </c>
      <c r="D110" s="2" t="s">
        <v>17</v>
      </c>
      <c r="E110" s="2">
        <v>38</v>
      </c>
      <c r="F110" s="2">
        <v>8360</v>
      </c>
      <c r="G110" s="2">
        <v>2702</v>
      </c>
      <c r="H110" s="2">
        <v>3</v>
      </c>
      <c r="I110" s="2">
        <v>49</v>
      </c>
      <c r="J110" s="2">
        <v>1</v>
      </c>
      <c r="K110" s="2">
        <v>4.5</v>
      </c>
      <c r="L110" s="3">
        <f t="shared" si="3"/>
        <v>0.32320574162679427</v>
      </c>
      <c r="M110" s="4">
        <f t="shared" si="4"/>
        <v>220</v>
      </c>
      <c r="N110" s="2">
        <f t="shared" si="5"/>
        <v>12.666666666666666</v>
      </c>
    </row>
    <row r="111" spans="1:14" x14ac:dyDescent="0.25">
      <c r="A111" s="5" t="s">
        <v>62</v>
      </c>
      <c r="B111" s="5" t="s">
        <v>57</v>
      </c>
      <c r="C111" s="5" t="s">
        <v>21</v>
      </c>
      <c r="D111" s="5" t="s">
        <v>18</v>
      </c>
      <c r="E111" s="5">
        <v>55</v>
      </c>
      <c r="F111" s="5">
        <v>17380</v>
      </c>
      <c r="G111" s="5">
        <v>6904</v>
      </c>
      <c r="H111" s="5">
        <v>8</v>
      </c>
      <c r="I111" s="5">
        <v>48</v>
      </c>
      <c r="J111" s="5">
        <v>0</v>
      </c>
      <c r="K111" s="5">
        <v>3.5</v>
      </c>
      <c r="L111" s="6">
        <f t="shared" si="3"/>
        <v>0.39723820483314154</v>
      </c>
      <c r="M111" s="7">
        <f t="shared" si="4"/>
        <v>316</v>
      </c>
      <c r="N111" s="5">
        <f t="shared" si="5"/>
        <v>6.875</v>
      </c>
    </row>
    <row r="112" spans="1:14" x14ac:dyDescent="0.25">
      <c r="A112" s="2" t="s">
        <v>62</v>
      </c>
      <c r="B112" s="2" t="s">
        <v>57</v>
      </c>
      <c r="C112" s="2" t="s">
        <v>21</v>
      </c>
      <c r="D112" s="2" t="s">
        <v>19</v>
      </c>
      <c r="E112" s="2">
        <v>44</v>
      </c>
      <c r="F112" s="2">
        <v>13420</v>
      </c>
      <c r="G112" s="2">
        <v>3928</v>
      </c>
      <c r="H112" s="2">
        <v>7</v>
      </c>
      <c r="I112" s="2">
        <v>47</v>
      </c>
      <c r="J112" s="2">
        <v>1</v>
      </c>
      <c r="K112" s="2">
        <v>3.9</v>
      </c>
      <c r="L112" s="3">
        <f t="shared" si="3"/>
        <v>0.29269746646795824</v>
      </c>
      <c r="M112" s="4">
        <f t="shared" si="4"/>
        <v>305</v>
      </c>
      <c r="N112" s="2">
        <f t="shared" si="5"/>
        <v>6.2857142857142856</v>
      </c>
    </row>
    <row r="113" spans="1:14" x14ac:dyDescent="0.25">
      <c r="A113" s="5" t="s">
        <v>63</v>
      </c>
      <c r="B113" s="5" t="s">
        <v>57</v>
      </c>
      <c r="C113" s="5" t="s">
        <v>23</v>
      </c>
      <c r="D113" s="5" t="s">
        <v>17</v>
      </c>
      <c r="E113" s="5">
        <v>38</v>
      </c>
      <c r="F113" s="5">
        <v>9310</v>
      </c>
      <c r="G113" s="5">
        <v>3171</v>
      </c>
      <c r="H113" s="5">
        <v>3</v>
      </c>
      <c r="I113" s="5">
        <v>51</v>
      </c>
      <c r="J113" s="5">
        <v>0</v>
      </c>
      <c r="K113" s="5">
        <v>4.3</v>
      </c>
      <c r="L113" s="6">
        <f t="shared" si="3"/>
        <v>0.34060150375939852</v>
      </c>
      <c r="M113" s="7">
        <f t="shared" si="4"/>
        <v>245</v>
      </c>
      <c r="N113" s="5">
        <f t="shared" si="5"/>
        <v>12.666666666666666</v>
      </c>
    </row>
    <row r="114" spans="1:14" x14ac:dyDescent="0.25">
      <c r="A114" s="2" t="s">
        <v>63</v>
      </c>
      <c r="B114" s="2" t="s">
        <v>57</v>
      </c>
      <c r="C114" s="2" t="s">
        <v>23</v>
      </c>
      <c r="D114" s="2" t="s">
        <v>18</v>
      </c>
      <c r="E114" s="2">
        <v>63</v>
      </c>
      <c r="F114" s="2">
        <v>20349</v>
      </c>
      <c r="G114" s="2">
        <v>6223</v>
      </c>
      <c r="H114" s="2">
        <v>7</v>
      </c>
      <c r="I114" s="2">
        <v>62</v>
      </c>
      <c r="J114" s="2">
        <v>3</v>
      </c>
      <c r="K114" s="2">
        <v>4.2</v>
      </c>
      <c r="L114" s="3">
        <f t="shared" si="3"/>
        <v>0.30581355349157208</v>
      </c>
      <c r="M114" s="4">
        <f t="shared" si="4"/>
        <v>323</v>
      </c>
      <c r="N114" s="2">
        <f t="shared" si="5"/>
        <v>9</v>
      </c>
    </row>
    <row r="115" spans="1:14" x14ac:dyDescent="0.25">
      <c r="A115" s="5" t="s">
        <v>63</v>
      </c>
      <c r="B115" s="5" t="s">
        <v>57</v>
      </c>
      <c r="C115" s="5" t="s">
        <v>23</v>
      </c>
      <c r="D115" s="5" t="s">
        <v>19</v>
      </c>
      <c r="E115" s="5">
        <v>34</v>
      </c>
      <c r="F115" s="5">
        <v>11730</v>
      </c>
      <c r="G115" s="5">
        <v>3416</v>
      </c>
      <c r="H115" s="5">
        <v>5</v>
      </c>
      <c r="I115" s="5">
        <v>51</v>
      </c>
      <c r="J115" s="5">
        <v>1</v>
      </c>
      <c r="K115" s="5">
        <v>3.8</v>
      </c>
      <c r="L115" s="6">
        <f t="shared" si="3"/>
        <v>0.29121909633418586</v>
      </c>
      <c r="M115" s="7">
        <f t="shared" si="4"/>
        <v>345</v>
      </c>
      <c r="N115" s="5">
        <f t="shared" si="5"/>
        <v>6.8</v>
      </c>
    </row>
    <row r="116" spans="1:14" x14ac:dyDescent="0.25">
      <c r="A116" s="2" t="s">
        <v>64</v>
      </c>
      <c r="B116" s="2" t="s">
        <v>57</v>
      </c>
      <c r="C116" s="2" t="s">
        <v>25</v>
      </c>
      <c r="D116" s="2" t="s">
        <v>17</v>
      </c>
      <c r="E116" s="2">
        <v>49</v>
      </c>
      <c r="F116" s="2">
        <v>10682</v>
      </c>
      <c r="G116" s="2">
        <v>3072</v>
      </c>
      <c r="H116" s="2">
        <v>3</v>
      </c>
      <c r="I116" s="2">
        <v>47</v>
      </c>
      <c r="J116" s="2">
        <v>1</v>
      </c>
      <c r="K116" s="2">
        <v>4.0999999999999996</v>
      </c>
      <c r="L116" s="3">
        <f t="shared" si="3"/>
        <v>0.2875865942707358</v>
      </c>
      <c r="M116" s="4">
        <f t="shared" si="4"/>
        <v>218</v>
      </c>
      <c r="N116" s="2">
        <f t="shared" si="5"/>
        <v>16.333333333333332</v>
      </c>
    </row>
    <row r="117" spans="1:14" x14ac:dyDescent="0.25">
      <c r="A117" s="5" t="s">
        <v>64</v>
      </c>
      <c r="B117" s="5" t="s">
        <v>57</v>
      </c>
      <c r="C117" s="5" t="s">
        <v>25</v>
      </c>
      <c r="D117" s="5" t="s">
        <v>18</v>
      </c>
      <c r="E117" s="5">
        <v>69</v>
      </c>
      <c r="F117" s="5">
        <v>21114</v>
      </c>
      <c r="G117" s="5">
        <v>7931</v>
      </c>
      <c r="H117" s="5">
        <v>10</v>
      </c>
      <c r="I117" s="5">
        <v>63</v>
      </c>
      <c r="J117" s="5">
        <v>4</v>
      </c>
      <c r="K117" s="5">
        <v>3.8</v>
      </c>
      <c r="L117" s="6">
        <f t="shared" si="3"/>
        <v>0.37562754570427204</v>
      </c>
      <c r="M117" s="7">
        <f t="shared" si="4"/>
        <v>306</v>
      </c>
      <c r="N117" s="5">
        <f t="shared" si="5"/>
        <v>6.9</v>
      </c>
    </row>
    <row r="118" spans="1:14" x14ac:dyDescent="0.25">
      <c r="A118" s="2" t="s">
        <v>64</v>
      </c>
      <c r="B118" s="2" t="s">
        <v>57</v>
      </c>
      <c r="C118" s="2" t="s">
        <v>25</v>
      </c>
      <c r="D118" s="2" t="s">
        <v>19</v>
      </c>
      <c r="E118" s="2">
        <v>67</v>
      </c>
      <c r="F118" s="2">
        <v>13936</v>
      </c>
      <c r="G118" s="2">
        <v>5728</v>
      </c>
      <c r="H118" s="2">
        <v>6</v>
      </c>
      <c r="I118" s="2">
        <v>53</v>
      </c>
      <c r="J118" s="2">
        <v>1</v>
      </c>
      <c r="K118" s="2">
        <v>4.4000000000000004</v>
      </c>
      <c r="L118" s="3">
        <f t="shared" si="3"/>
        <v>0.41102181400688864</v>
      </c>
      <c r="M118" s="4">
        <f t="shared" si="4"/>
        <v>208</v>
      </c>
      <c r="N118" s="2">
        <f t="shared" si="5"/>
        <v>11.166666666666666</v>
      </c>
    </row>
    <row r="119" spans="1:14" x14ac:dyDescent="0.25">
      <c r="A119" s="5" t="s">
        <v>65</v>
      </c>
      <c r="B119" s="5" t="s">
        <v>57</v>
      </c>
      <c r="C119" s="5" t="s">
        <v>27</v>
      </c>
      <c r="D119" s="5" t="s">
        <v>17</v>
      </c>
      <c r="E119" s="5">
        <v>49</v>
      </c>
      <c r="F119" s="5">
        <v>9261</v>
      </c>
      <c r="G119" s="5">
        <v>3074</v>
      </c>
      <c r="H119" s="5">
        <v>5</v>
      </c>
      <c r="I119" s="5">
        <v>36</v>
      </c>
      <c r="J119" s="5">
        <v>0</v>
      </c>
      <c r="K119" s="5">
        <v>4.2</v>
      </c>
      <c r="L119" s="6">
        <f t="shared" si="3"/>
        <v>0.33192959723571969</v>
      </c>
      <c r="M119" s="7">
        <f t="shared" si="4"/>
        <v>189</v>
      </c>
      <c r="N119" s="5">
        <f t="shared" si="5"/>
        <v>9.8000000000000007</v>
      </c>
    </row>
    <row r="120" spans="1:14" x14ac:dyDescent="0.25">
      <c r="A120" s="2" t="s">
        <v>65</v>
      </c>
      <c r="B120" s="2" t="s">
        <v>57</v>
      </c>
      <c r="C120" s="2" t="s">
        <v>27</v>
      </c>
      <c r="D120" s="2" t="s">
        <v>18</v>
      </c>
      <c r="E120" s="2">
        <v>72</v>
      </c>
      <c r="F120" s="2">
        <v>20952</v>
      </c>
      <c r="G120" s="2">
        <v>6383</v>
      </c>
      <c r="H120" s="2">
        <v>8</v>
      </c>
      <c r="I120" s="2">
        <v>46</v>
      </c>
      <c r="J120" s="2">
        <v>0</v>
      </c>
      <c r="K120" s="2">
        <v>4.5999999999999996</v>
      </c>
      <c r="L120" s="3">
        <f t="shared" si="3"/>
        <v>0.30464872088583428</v>
      </c>
      <c r="M120" s="4">
        <f t="shared" si="4"/>
        <v>291</v>
      </c>
      <c r="N120" s="2">
        <f t="shared" si="5"/>
        <v>9</v>
      </c>
    </row>
    <row r="121" spans="1:14" x14ac:dyDescent="0.25">
      <c r="A121" s="5" t="s">
        <v>65</v>
      </c>
      <c r="B121" s="5" t="s">
        <v>57</v>
      </c>
      <c r="C121" s="5" t="s">
        <v>27</v>
      </c>
      <c r="D121" s="5" t="s">
        <v>19</v>
      </c>
      <c r="E121" s="5">
        <v>48</v>
      </c>
      <c r="F121" s="5">
        <v>14256</v>
      </c>
      <c r="G121" s="5">
        <v>5269</v>
      </c>
      <c r="H121" s="5">
        <v>5</v>
      </c>
      <c r="I121" s="5">
        <v>43</v>
      </c>
      <c r="J121" s="5">
        <v>2</v>
      </c>
      <c r="K121" s="5">
        <v>4.3</v>
      </c>
      <c r="L121" s="6">
        <f t="shared" si="3"/>
        <v>0.36959876543209874</v>
      </c>
      <c r="M121" s="7">
        <f t="shared" si="4"/>
        <v>297</v>
      </c>
      <c r="N121" s="5">
        <f t="shared" si="5"/>
        <v>9.6</v>
      </c>
    </row>
    <row r="122" spans="1:14" x14ac:dyDescent="0.25">
      <c r="A122" s="2" t="s">
        <v>66</v>
      </c>
      <c r="B122" s="2" t="s">
        <v>57</v>
      </c>
      <c r="C122" s="2" t="s">
        <v>29</v>
      </c>
      <c r="D122" s="2" t="s">
        <v>17</v>
      </c>
      <c r="E122" s="2">
        <v>33</v>
      </c>
      <c r="F122" s="2">
        <v>6996</v>
      </c>
      <c r="G122" s="2">
        <v>2427</v>
      </c>
      <c r="H122" s="2">
        <v>5</v>
      </c>
      <c r="I122" s="2">
        <v>52</v>
      </c>
      <c r="J122" s="2">
        <v>0</v>
      </c>
      <c r="K122" s="2">
        <v>4.3</v>
      </c>
      <c r="L122" s="3">
        <f t="shared" si="3"/>
        <v>0.34691252144082335</v>
      </c>
      <c r="M122" s="4">
        <f t="shared" si="4"/>
        <v>212</v>
      </c>
      <c r="N122" s="2">
        <f t="shared" si="5"/>
        <v>6.6</v>
      </c>
    </row>
    <row r="123" spans="1:14" x14ac:dyDescent="0.25">
      <c r="A123" s="5" t="s">
        <v>66</v>
      </c>
      <c r="B123" s="5" t="s">
        <v>57</v>
      </c>
      <c r="C123" s="5" t="s">
        <v>29</v>
      </c>
      <c r="D123" s="5" t="s">
        <v>18</v>
      </c>
      <c r="E123" s="5">
        <v>166</v>
      </c>
      <c r="F123" s="5">
        <v>62582</v>
      </c>
      <c r="G123" s="5">
        <v>22025</v>
      </c>
      <c r="H123" s="5">
        <v>6</v>
      </c>
      <c r="I123" s="5">
        <v>74</v>
      </c>
      <c r="J123" s="5">
        <v>1</v>
      </c>
      <c r="K123" s="5">
        <v>4.0999999999999996</v>
      </c>
      <c r="L123" s="6">
        <f t="shared" si="3"/>
        <v>0.35193825700680709</v>
      </c>
      <c r="M123" s="7">
        <f t="shared" si="4"/>
        <v>377</v>
      </c>
      <c r="N123" s="5">
        <f t="shared" si="5"/>
        <v>27.666666666666668</v>
      </c>
    </row>
    <row r="124" spans="1:14" x14ac:dyDescent="0.25">
      <c r="A124" s="2" t="s">
        <v>66</v>
      </c>
      <c r="B124" s="2" t="s">
        <v>57</v>
      </c>
      <c r="C124" s="2" t="s">
        <v>29</v>
      </c>
      <c r="D124" s="2" t="s">
        <v>19</v>
      </c>
      <c r="E124" s="2">
        <v>82</v>
      </c>
      <c r="F124" s="2">
        <v>20008</v>
      </c>
      <c r="G124" s="2">
        <v>8075</v>
      </c>
      <c r="H124" s="2">
        <v>6</v>
      </c>
      <c r="I124" s="2">
        <v>57</v>
      </c>
      <c r="J124" s="2">
        <v>2</v>
      </c>
      <c r="K124" s="2">
        <v>4</v>
      </c>
      <c r="L124" s="3">
        <f t="shared" si="3"/>
        <v>0.40358856457417031</v>
      </c>
      <c r="M124" s="4">
        <f t="shared" si="4"/>
        <v>244</v>
      </c>
      <c r="N124" s="2">
        <f t="shared" si="5"/>
        <v>13.666666666666666</v>
      </c>
    </row>
    <row r="125" spans="1:14" x14ac:dyDescent="0.25">
      <c r="A125" s="5" t="s">
        <v>67</v>
      </c>
      <c r="B125" s="5" t="s">
        <v>57</v>
      </c>
      <c r="C125" s="5" t="s">
        <v>31</v>
      </c>
      <c r="D125" s="5" t="s">
        <v>17</v>
      </c>
      <c r="E125" s="5">
        <v>75</v>
      </c>
      <c r="F125" s="5">
        <v>17700</v>
      </c>
      <c r="G125" s="5">
        <v>5944</v>
      </c>
      <c r="H125" s="5">
        <v>5</v>
      </c>
      <c r="I125" s="5">
        <v>49</v>
      </c>
      <c r="J125" s="5">
        <v>2</v>
      </c>
      <c r="K125" s="5">
        <v>4.3</v>
      </c>
      <c r="L125" s="6">
        <f t="shared" si="3"/>
        <v>0.33581920903954804</v>
      </c>
      <c r="M125" s="7">
        <f t="shared" si="4"/>
        <v>236</v>
      </c>
      <c r="N125" s="5">
        <f t="shared" si="5"/>
        <v>15</v>
      </c>
    </row>
    <row r="126" spans="1:14" x14ac:dyDescent="0.25">
      <c r="A126" s="2" t="s">
        <v>67</v>
      </c>
      <c r="B126" s="2" t="s">
        <v>57</v>
      </c>
      <c r="C126" s="2" t="s">
        <v>31</v>
      </c>
      <c r="D126" s="2" t="s">
        <v>18</v>
      </c>
      <c r="E126" s="2">
        <v>166</v>
      </c>
      <c r="F126" s="2">
        <v>68724</v>
      </c>
      <c r="G126" s="2">
        <v>24514</v>
      </c>
      <c r="H126" s="2">
        <v>7</v>
      </c>
      <c r="I126" s="2">
        <v>58</v>
      </c>
      <c r="J126" s="2">
        <v>3</v>
      </c>
      <c r="K126" s="2">
        <v>4.3</v>
      </c>
      <c r="L126" s="3">
        <f t="shared" si="3"/>
        <v>0.35670217100285201</v>
      </c>
      <c r="M126" s="4">
        <f t="shared" si="4"/>
        <v>414</v>
      </c>
      <c r="N126" s="2">
        <f t="shared" si="5"/>
        <v>23.714285714285715</v>
      </c>
    </row>
    <row r="127" spans="1:14" x14ac:dyDescent="0.25">
      <c r="A127" s="5" t="s">
        <v>67</v>
      </c>
      <c r="B127" s="5" t="s">
        <v>57</v>
      </c>
      <c r="C127" s="5" t="s">
        <v>31</v>
      </c>
      <c r="D127" s="5" t="s">
        <v>19</v>
      </c>
      <c r="E127" s="5">
        <v>97</v>
      </c>
      <c r="F127" s="5">
        <v>22504</v>
      </c>
      <c r="G127" s="5">
        <v>8112</v>
      </c>
      <c r="H127" s="5">
        <v>6</v>
      </c>
      <c r="I127" s="5">
        <v>47</v>
      </c>
      <c r="J127" s="5">
        <v>2</v>
      </c>
      <c r="K127" s="5">
        <v>4.5</v>
      </c>
      <c r="L127" s="6">
        <f t="shared" si="3"/>
        <v>0.36046924991112689</v>
      </c>
      <c r="M127" s="7">
        <f t="shared" si="4"/>
        <v>232</v>
      </c>
      <c r="N127" s="5">
        <f t="shared" si="5"/>
        <v>16.166666666666668</v>
      </c>
    </row>
    <row r="128" spans="1:14" x14ac:dyDescent="0.25">
      <c r="A128" s="2" t="s">
        <v>68</v>
      </c>
      <c r="B128" s="2" t="s">
        <v>57</v>
      </c>
      <c r="C128" s="2" t="s">
        <v>16</v>
      </c>
      <c r="D128" s="2" t="s">
        <v>17</v>
      </c>
      <c r="E128" s="2">
        <v>21</v>
      </c>
      <c r="F128" s="2">
        <v>5082</v>
      </c>
      <c r="G128" s="2">
        <v>1831</v>
      </c>
      <c r="H128" s="2">
        <v>4</v>
      </c>
      <c r="I128" s="2">
        <v>54</v>
      </c>
      <c r="J128" s="2">
        <v>2</v>
      </c>
      <c r="K128" s="2">
        <v>3.8</v>
      </c>
      <c r="L128" s="3">
        <f t="shared" si="3"/>
        <v>0.36029122392758756</v>
      </c>
      <c r="M128" s="4">
        <f t="shared" si="4"/>
        <v>242</v>
      </c>
      <c r="N128" s="2">
        <f t="shared" si="5"/>
        <v>5.25</v>
      </c>
    </row>
    <row r="129" spans="1:14" x14ac:dyDescent="0.25">
      <c r="A129" s="5" t="s">
        <v>68</v>
      </c>
      <c r="B129" s="5" t="s">
        <v>57</v>
      </c>
      <c r="C129" s="5" t="s">
        <v>16</v>
      </c>
      <c r="D129" s="5" t="s">
        <v>18</v>
      </c>
      <c r="E129" s="5">
        <v>98</v>
      </c>
      <c r="F129" s="5">
        <v>34594</v>
      </c>
      <c r="G129" s="5">
        <v>12218</v>
      </c>
      <c r="H129" s="5">
        <v>7</v>
      </c>
      <c r="I129" s="5">
        <v>64</v>
      </c>
      <c r="J129" s="5">
        <v>1</v>
      </c>
      <c r="K129" s="5">
        <v>4.7</v>
      </c>
      <c r="L129" s="6">
        <f t="shared" si="3"/>
        <v>0.3531826328265017</v>
      </c>
      <c r="M129" s="7">
        <f t="shared" si="4"/>
        <v>353</v>
      </c>
      <c r="N129" s="5">
        <f t="shared" si="5"/>
        <v>14</v>
      </c>
    </row>
    <row r="130" spans="1:14" x14ac:dyDescent="0.25">
      <c r="A130" s="2" t="s">
        <v>68</v>
      </c>
      <c r="B130" s="2" t="s">
        <v>57</v>
      </c>
      <c r="C130" s="2" t="s">
        <v>16</v>
      </c>
      <c r="D130" s="2" t="s">
        <v>19</v>
      </c>
      <c r="E130" s="2">
        <v>46</v>
      </c>
      <c r="F130" s="2">
        <v>15364</v>
      </c>
      <c r="G130" s="2">
        <v>5631</v>
      </c>
      <c r="H130" s="2">
        <v>7</v>
      </c>
      <c r="I130" s="2">
        <v>45</v>
      </c>
      <c r="J130" s="2">
        <v>0</v>
      </c>
      <c r="K130" s="2">
        <v>3.8</v>
      </c>
      <c r="L130" s="3">
        <f t="shared" ref="L130:L193" si="6">G130/F130</f>
        <v>0.36650611819838586</v>
      </c>
      <c r="M130" s="4">
        <f t="shared" ref="M130:M193" si="7">F130/E130</f>
        <v>334</v>
      </c>
      <c r="N130" s="2">
        <f t="shared" ref="N130:N193" si="8">E130/H130</f>
        <v>6.5714285714285712</v>
      </c>
    </row>
    <row r="131" spans="1:14" x14ac:dyDescent="0.25">
      <c r="A131" s="5" t="s">
        <v>69</v>
      </c>
      <c r="B131" s="5" t="s">
        <v>57</v>
      </c>
      <c r="C131" s="5" t="s">
        <v>21</v>
      </c>
      <c r="D131" s="5" t="s">
        <v>17</v>
      </c>
      <c r="E131" s="5">
        <v>21</v>
      </c>
      <c r="F131" s="5">
        <v>3822</v>
      </c>
      <c r="G131" s="5">
        <v>1505</v>
      </c>
      <c r="H131" s="5">
        <v>4</v>
      </c>
      <c r="I131" s="5">
        <v>42</v>
      </c>
      <c r="J131" s="5">
        <v>1</v>
      </c>
      <c r="K131" s="5">
        <v>4.5</v>
      </c>
      <c r="L131" s="6">
        <f t="shared" si="6"/>
        <v>0.39377289377289376</v>
      </c>
      <c r="M131" s="7">
        <f t="shared" si="7"/>
        <v>182</v>
      </c>
      <c r="N131" s="5">
        <f t="shared" si="8"/>
        <v>5.25</v>
      </c>
    </row>
    <row r="132" spans="1:14" x14ac:dyDescent="0.25">
      <c r="A132" s="2" t="s">
        <v>69</v>
      </c>
      <c r="B132" s="2" t="s">
        <v>57</v>
      </c>
      <c r="C132" s="2" t="s">
        <v>21</v>
      </c>
      <c r="D132" s="2" t="s">
        <v>18</v>
      </c>
      <c r="E132" s="2">
        <v>85</v>
      </c>
      <c r="F132" s="2">
        <v>32215</v>
      </c>
      <c r="G132" s="2">
        <v>10512</v>
      </c>
      <c r="H132" s="2">
        <v>10</v>
      </c>
      <c r="I132" s="2">
        <v>56</v>
      </c>
      <c r="J132" s="2">
        <v>4</v>
      </c>
      <c r="K132" s="2">
        <v>4.5</v>
      </c>
      <c r="L132" s="3">
        <f t="shared" si="6"/>
        <v>0.32630762067359925</v>
      </c>
      <c r="M132" s="4">
        <f t="shared" si="7"/>
        <v>379</v>
      </c>
      <c r="N132" s="2">
        <f t="shared" si="8"/>
        <v>8.5</v>
      </c>
    </row>
    <row r="133" spans="1:14" x14ac:dyDescent="0.25">
      <c r="A133" s="5" t="s">
        <v>69</v>
      </c>
      <c r="B133" s="5" t="s">
        <v>57</v>
      </c>
      <c r="C133" s="5" t="s">
        <v>21</v>
      </c>
      <c r="D133" s="5" t="s">
        <v>19</v>
      </c>
      <c r="E133" s="5">
        <v>43</v>
      </c>
      <c r="F133" s="5">
        <v>13545</v>
      </c>
      <c r="G133" s="5">
        <v>5384</v>
      </c>
      <c r="H133" s="5">
        <v>4</v>
      </c>
      <c r="I133" s="5">
        <v>60</v>
      </c>
      <c r="J133" s="5">
        <v>2</v>
      </c>
      <c r="K133" s="5">
        <v>3.6</v>
      </c>
      <c r="L133" s="6">
        <f t="shared" si="6"/>
        <v>0.39748984865263937</v>
      </c>
      <c r="M133" s="7">
        <f t="shared" si="7"/>
        <v>315</v>
      </c>
      <c r="N133" s="5">
        <f t="shared" si="8"/>
        <v>10.75</v>
      </c>
    </row>
    <row r="134" spans="1:14" x14ac:dyDescent="0.25">
      <c r="A134" s="2" t="s">
        <v>70</v>
      </c>
      <c r="B134" s="2" t="s">
        <v>57</v>
      </c>
      <c r="C134" s="2" t="s">
        <v>23</v>
      </c>
      <c r="D134" s="2" t="s">
        <v>17</v>
      </c>
      <c r="E134" s="2">
        <v>48</v>
      </c>
      <c r="F134" s="2">
        <v>12480</v>
      </c>
      <c r="G134" s="2">
        <v>4324</v>
      </c>
      <c r="H134" s="2">
        <v>5</v>
      </c>
      <c r="I134" s="2">
        <v>44</v>
      </c>
      <c r="J134" s="2">
        <v>1</v>
      </c>
      <c r="K134" s="2">
        <v>4.2</v>
      </c>
      <c r="L134" s="3">
        <f t="shared" si="6"/>
        <v>0.34647435897435896</v>
      </c>
      <c r="M134" s="4">
        <f t="shared" si="7"/>
        <v>260</v>
      </c>
      <c r="N134" s="2">
        <f t="shared" si="8"/>
        <v>9.6</v>
      </c>
    </row>
    <row r="135" spans="1:14" x14ac:dyDescent="0.25">
      <c r="A135" s="5" t="s">
        <v>70</v>
      </c>
      <c r="B135" s="5" t="s">
        <v>57</v>
      </c>
      <c r="C135" s="5" t="s">
        <v>23</v>
      </c>
      <c r="D135" s="5" t="s">
        <v>18</v>
      </c>
      <c r="E135" s="5">
        <v>72</v>
      </c>
      <c r="F135" s="5">
        <v>29304</v>
      </c>
      <c r="G135" s="5">
        <v>10819</v>
      </c>
      <c r="H135" s="5">
        <v>6</v>
      </c>
      <c r="I135" s="5">
        <v>46</v>
      </c>
      <c r="J135" s="5">
        <v>1</v>
      </c>
      <c r="K135" s="5">
        <v>4.5</v>
      </c>
      <c r="L135" s="6">
        <f t="shared" si="6"/>
        <v>0.36919874419874421</v>
      </c>
      <c r="M135" s="7">
        <f t="shared" si="7"/>
        <v>407</v>
      </c>
      <c r="N135" s="5">
        <f t="shared" si="8"/>
        <v>12</v>
      </c>
    </row>
    <row r="136" spans="1:14" x14ac:dyDescent="0.25">
      <c r="A136" s="2" t="s">
        <v>70</v>
      </c>
      <c r="B136" s="2" t="s">
        <v>57</v>
      </c>
      <c r="C136" s="2" t="s">
        <v>23</v>
      </c>
      <c r="D136" s="2" t="s">
        <v>19</v>
      </c>
      <c r="E136" s="2">
        <v>44</v>
      </c>
      <c r="F136" s="2">
        <v>11132</v>
      </c>
      <c r="G136" s="2">
        <v>4192</v>
      </c>
      <c r="H136" s="2">
        <v>7</v>
      </c>
      <c r="I136" s="2">
        <v>41</v>
      </c>
      <c r="J136" s="2">
        <v>1</v>
      </c>
      <c r="K136" s="2">
        <v>3.7</v>
      </c>
      <c r="L136" s="3">
        <f t="shared" si="6"/>
        <v>0.37657204455623428</v>
      </c>
      <c r="M136" s="4">
        <f t="shared" si="7"/>
        <v>253</v>
      </c>
      <c r="N136" s="2">
        <f t="shared" si="8"/>
        <v>6.2857142857142856</v>
      </c>
    </row>
    <row r="137" spans="1:14" x14ac:dyDescent="0.25">
      <c r="A137" s="5" t="s">
        <v>71</v>
      </c>
      <c r="B137" s="5" t="s">
        <v>57</v>
      </c>
      <c r="C137" s="5" t="s">
        <v>25</v>
      </c>
      <c r="D137" s="5" t="s">
        <v>17</v>
      </c>
      <c r="E137" s="5">
        <v>31</v>
      </c>
      <c r="F137" s="5">
        <v>7378</v>
      </c>
      <c r="G137" s="5">
        <v>2232</v>
      </c>
      <c r="H137" s="5">
        <v>4</v>
      </c>
      <c r="I137" s="5">
        <v>52</v>
      </c>
      <c r="J137" s="5">
        <v>0</v>
      </c>
      <c r="K137" s="5">
        <v>4.0999999999999996</v>
      </c>
      <c r="L137" s="6">
        <f t="shared" si="6"/>
        <v>0.30252100840336132</v>
      </c>
      <c r="M137" s="7">
        <f t="shared" si="7"/>
        <v>238</v>
      </c>
      <c r="N137" s="5">
        <f t="shared" si="8"/>
        <v>7.75</v>
      </c>
    </row>
    <row r="138" spans="1:14" x14ac:dyDescent="0.25">
      <c r="A138" s="2" t="s">
        <v>71</v>
      </c>
      <c r="B138" s="2" t="s">
        <v>57</v>
      </c>
      <c r="C138" s="2" t="s">
        <v>25</v>
      </c>
      <c r="D138" s="2" t="s">
        <v>18</v>
      </c>
      <c r="E138" s="2">
        <v>70</v>
      </c>
      <c r="F138" s="2">
        <v>31640</v>
      </c>
      <c r="G138" s="2">
        <v>11547</v>
      </c>
      <c r="H138" s="2">
        <v>8</v>
      </c>
      <c r="I138" s="2">
        <v>68</v>
      </c>
      <c r="J138" s="2">
        <v>2</v>
      </c>
      <c r="K138" s="2">
        <v>3.7</v>
      </c>
      <c r="L138" s="3">
        <f t="shared" si="6"/>
        <v>0.3649494310998736</v>
      </c>
      <c r="M138" s="4">
        <f t="shared" si="7"/>
        <v>452</v>
      </c>
      <c r="N138" s="2">
        <f t="shared" si="8"/>
        <v>8.75</v>
      </c>
    </row>
    <row r="139" spans="1:14" x14ac:dyDescent="0.25">
      <c r="A139" s="5" t="s">
        <v>71</v>
      </c>
      <c r="B139" s="5" t="s">
        <v>57</v>
      </c>
      <c r="C139" s="5" t="s">
        <v>25</v>
      </c>
      <c r="D139" s="5" t="s">
        <v>19</v>
      </c>
      <c r="E139" s="5">
        <v>44</v>
      </c>
      <c r="F139" s="5">
        <v>13112</v>
      </c>
      <c r="G139" s="5">
        <v>5408</v>
      </c>
      <c r="H139" s="5">
        <v>5</v>
      </c>
      <c r="I139" s="5">
        <v>59</v>
      </c>
      <c r="J139" s="5">
        <v>2</v>
      </c>
      <c r="K139" s="5">
        <v>4.5</v>
      </c>
      <c r="L139" s="6">
        <f t="shared" si="6"/>
        <v>0.41244661378889569</v>
      </c>
      <c r="M139" s="7">
        <f t="shared" si="7"/>
        <v>298</v>
      </c>
      <c r="N139" s="5">
        <f t="shared" si="8"/>
        <v>8.8000000000000007</v>
      </c>
    </row>
    <row r="140" spans="1:14" x14ac:dyDescent="0.25">
      <c r="A140" s="2" t="s">
        <v>72</v>
      </c>
      <c r="B140" s="2" t="s">
        <v>57</v>
      </c>
      <c r="C140" s="2" t="s">
        <v>27</v>
      </c>
      <c r="D140" s="2" t="s">
        <v>17</v>
      </c>
      <c r="E140" s="2">
        <v>48</v>
      </c>
      <c r="F140" s="2">
        <v>8736</v>
      </c>
      <c r="G140" s="2">
        <v>2979</v>
      </c>
      <c r="H140" s="2">
        <v>5</v>
      </c>
      <c r="I140" s="2">
        <v>50</v>
      </c>
      <c r="J140" s="2">
        <v>0</v>
      </c>
      <c r="K140" s="2">
        <v>4</v>
      </c>
      <c r="L140" s="3">
        <f t="shared" si="6"/>
        <v>0.34100274725274726</v>
      </c>
      <c r="M140" s="4">
        <f t="shared" si="7"/>
        <v>182</v>
      </c>
      <c r="N140" s="2">
        <f t="shared" si="8"/>
        <v>9.6</v>
      </c>
    </row>
    <row r="141" spans="1:14" x14ac:dyDescent="0.25">
      <c r="A141" s="5" t="s">
        <v>72</v>
      </c>
      <c r="B141" s="5" t="s">
        <v>57</v>
      </c>
      <c r="C141" s="5" t="s">
        <v>27</v>
      </c>
      <c r="D141" s="5" t="s">
        <v>18</v>
      </c>
      <c r="E141" s="5">
        <v>135</v>
      </c>
      <c r="F141" s="5">
        <v>40635</v>
      </c>
      <c r="G141" s="5">
        <v>16272</v>
      </c>
      <c r="H141" s="5">
        <v>8</v>
      </c>
      <c r="I141" s="5">
        <v>61</v>
      </c>
      <c r="J141" s="5">
        <v>2</v>
      </c>
      <c r="K141" s="5">
        <v>4.2</v>
      </c>
      <c r="L141" s="6">
        <f t="shared" si="6"/>
        <v>0.40044296788482836</v>
      </c>
      <c r="M141" s="7">
        <f t="shared" si="7"/>
        <v>301</v>
      </c>
      <c r="N141" s="5">
        <f t="shared" si="8"/>
        <v>16.875</v>
      </c>
    </row>
    <row r="142" spans="1:14" x14ac:dyDescent="0.25">
      <c r="A142" s="2" t="s">
        <v>72</v>
      </c>
      <c r="B142" s="2" t="s">
        <v>57</v>
      </c>
      <c r="C142" s="2" t="s">
        <v>27</v>
      </c>
      <c r="D142" s="2" t="s">
        <v>19</v>
      </c>
      <c r="E142" s="2">
        <v>87</v>
      </c>
      <c r="F142" s="2">
        <v>19749</v>
      </c>
      <c r="G142" s="2">
        <v>8148</v>
      </c>
      <c r="H142" s="2">
        <v>6</v>
      </c>
      <c r="I142" s="2">
        <v>43</v>
      </c>
      <c r="J142" s="2">
        <v>1</v>
      </c>
      <c r="K142" s="2">
        <v>3.6</v>
      </c>
      <c r="L142" s="3">
        <f t="shared" si="6"/>
        <v>0.4125778520431414</v>
      </c>
      <c r="M142" s="4">
        <f t="shared" si="7"/>
        <v>227</v>
      </c>
      <c r="N142" s="2">
        <f t="shared" si="8"/>
        <v>14.5</v>
      </c>
    </row>
    <row r="143" spans="1:14" x14ac:dyDescent="0.25">
      <c r="A143" s="5" t="s">
        <v>73</v>
      </c>
      <c r="B143" s="5" t="s">
        <v>57</v>
      </c>
      <c r="C143" s="5" t="s">
        <v>29</v>
      </c>
      <c r="D143" s="5" t="s">
        <v>17</v>
      </c>
      <c r="E143" s="5">
        <v>37</v>
      </c>
      <c r="F143" s="5">
        <v>7622</v>
      </c>
      <c r="G143" s="5">
        <v>3194</v>
      </c>
      <c r="H143" s="5">
        <v>5</v>
      </c>
      <c r="I143" s="5">
        <v>50</v>
      </c>
      <c r="J143" s="5">
        <v>1</v>
      </c>
      <c r="K143" s="5">
        <v>4.2</v>
      </c>
      <c r="L143" s="6">
        <f t="shared" si="6"/>
        <v>0.4190501180792443</v>
      </c>
      <c r="M143" s="7">
        <f t="shared" si="7"/>
        <v>206</v>
      </c>
      <c r="N143" s="5">
        <f t="shared" si="8"/>
        <v>7.4</v>
      </c>
    </row>
    <row r="144" spans="1:14" x14ac:dyDescent="0.25">
      <c r="A144" s="2" t="s">
        <v>73</v>
      </c>
      <c r="B144" s="2" t="s">
        <v>57</v>
      </c>
      <c r="C144" s="2" t="s">
        <v>29</v>
      </c>
      <c r="D144" s="2" t="s">
        <v>18</v>
      </c>
      <c r="E144" s="2">
        <v>179</v>
      </c>
      <c r="F144" s="2">
        <v>63545</v>
      </c>
      <c r="G144" s="2">
        <v>21771</v>
      </c>
      <c r="H144" s="2">
        <v>9</v>
      </c>
      <c r="I144" s="2">
        <v>48</v>
      </c>
      <c r="J144" s="2">
        <v>2</v>
      </c>
      <c r="K144" s="2">
        <v>4.7</v>
      </c>
      <c r="L144" s="3">
        <f t="shared" si="6"/>
        <v>0.34260760091273901</v>
      </c>
      <c r="M144" s="4">
        <f t="shared" si="7"/>
        <v>355</v>
      </c>
      <c r="N144" s="2">
        <f t="shared" si="8"/>
        <v>19.888888888888889</v>
      </c>
    </row>
    <row r="145" spans="1:14" x14ac:dyDescent="0.25">
      <c r="A145" s="5" t="s">
        <v>73</v>
      </c>
      <c r="B145" s="5" t="s">
        <v>57</v>
      </c>
      <c r="C145" s="5" t="s">
        <v>29</v>
      </c>
      <c r="D145" s="5" t="s">
        <v>19</v>
      </c>
      <c r="E145" s="5">
        <v>71</v>
      </c>
      <c r="F145" s="5">
        <v>24850</v>
      </c>
      <c r="G145" s="5">
        <v>9619</v>
      </c>
      <c r="H145" s="5">
        <v>6</v>
      </c>
      <c r="I145" s="5">
        <v>44</v>
      </c>
      <c r="J145" s="5">
        <v>2</v>
      </c>
      <c r="K145" s="5">
        <v>3.8</v>
      </c>
      <c r="L145" s="6">
        <f t="shared" si="6"/>
        <v>0.38708249496981889</v>
      </c>
      <c r="M145" s="7">
        <f t="shared" si="7"/>
        <v>350</v>
      </c>
      <c r="N145" s="5">
        <f t="shared" si="8"/>
        <v>11.833333333333334</v>
      </c>
    </row>
    <row r="146" spans="1:14" x14ac:dyDescent="0.25">
      <c r="A146" s="2" t="s">
        <v>74</v>
      </c>
      <c r="B146" s="2" t="s">
        <v>57</v>
      </c>
      <c r="C146" s="2" t="s">
        <v>31</v>
      </c>
      <c r="D146" s="2" t="s">
        <v>17</v>
      </c>
      <c r="E146" s="2">
        <v>35</v>
      </c>
      <c r="F146" s="2">
        <v>6895</v>
      </c>
      <c r="G146" s="2">
        <v>2073</v>
      </c>
      <c r="H146" s="2">
        <v>4</v>
      </c>
      <c r="I146" s="2">
        <v>38</v>
      </c>
      <c r="J146" s="2">
        <v>1</v>
      </c>
      <c r="K146" s="2">
        <v>4.0999999999999996</v>
      </c>
      <c r="L146" s="3">
        <f t="shared" si="6"/>
        <v>0.30065264684554027</v>
      </c>
      <c r="M146" s="4">
        <f t="shared" si="7"/>
        <v>197</v>
      </c>
      <c r="N146" s="2">
        <f t="shared" si="8"/>
        <v>8.75</v>
      </c>
    </row>
    <row r="147" spans="1:14" x14ac:dyDescent="0.25">
      <c r="A147" s="5" t="s">
        <v>74</v>
      </c>
      <c r="B147" s="5" t="s">
        <v>57</v>
      </c>
      <c r="C147" s="5" t="s">
        <v>31</v>
      </c>
      <c r="D147" s="5" t="s">
        <v>18</v>
      </c>
      <c r="E147" s="5">
        <v>189</v>
      </c>
      <c r="F147" s="5">
        <v>76923</v>
      </c>
      <c r="G147" s="5">
        <v>23955</v>
      </c>
      <c r="H147" s="5">
        <v>9</v>
      </c>
      <c r="I147" s="5">
        <v>74</v>
      </c>
      <c r="J147" s="5">
        <v>1</v>
      </c>
      <c r="K147" s="5">
        <v>4.2</v>
      </c>
      <c r="L147" s="6">
        <f t="shared" si="6"/>
        <v>0.31141531141531142</v>
      </c>
      <c r="M147" s="7">
        <f t="shared" si="7"/>
        <v>407</v>
      </c>
      <c r="N147" s="5">
        <f t="shared" si="8"/>
        <v>21</v>
      </c>
    </row>
    <row r="148" spans="1:14" x14ac:dyDescent="0.25">
      <c r="A148" s="2" t="s">
        <v>74</v>
      </c>
      <c r="B148" s="2" t="s">
        <v>57</v>
      </c>
      <c r="C148" s="2" t="s">
        <v>31</v>
      </c>
      <c r="D148" s="2" t="s">
        <v>19</v>
      </c>
      <c r="E148" s="2">
        <v>62</v>
      </c>
      <c r="F148" s="2">
        <v>17360</v>
      </c>
      <c r="G148" s="2">
        <v>5065</v>
      </c>
      <c r="H148" s="2">
        <v>6</v>
      </c>
      <c r="I148" s="2">
        <v>59</v>
      </c>
      <c r="J148" s="2">
        <v>0</v>
      </c>
      <c r="K148" s="2">
        <v>4.3</v>
      </c>
      <c r="L148" s="3">
        <f t="shared" si="6"/>
        <v>0.29176267281105989</v>
      </c>
      <c r="M148" s="4">
        <f t="shared" si="7"/>
        <v>280</v>
      </c>
      <c r="N148" s="2">
        <f t="shared" si="8"/>
        <v>10.333333333333334</v>
      </c>
    </row>
    <row r="149" spans="1:14" x14ac:dyDescent="0.25">
      <c r="A149" s="5" t="s">
        <v>75</v>
      </c>
      <c r="B149" s="5" t="s">
        <v>57</v>
      </c>
      <c r="C149" s="5" t="s">
        <v>16</v>
      </c>
      <c r="D149" s="5" t="s">
        <v>17</v>
      </c>
      <c r="E149" s="5">
        <v>16</v>
      </c>
      <c r="F149" s="5">
        <v>2960</v>
      </c>
      <c r="G149" s="5">
        <v>905</v>
      </c>
      <c r="H149" s="5">
        <v>4</v>
      </c>
      <c r="I149" s="5">
        <v>41</v>
      </c>
      <c r="J149" s="5">
        <v>0</v>
      </c>
      <c r="K149" s="5">
        <v>4.3</v>
      </c>
      <c r="L149" s="6">
        <f t="shared" si="6"/>
        <v>0.30574324324324326</v>
      </c>
      <c r="M149" s="7">
        <f t="shared" si="7"/>
        <v>185</v>
      </c>
      <c r="N149" s="5">
        <f t="shared" si="8"/>
        <v>4</v>
      </c>
    </row>
    <row r="150" spans="1:14" x14ac:dyDescent="0.25">
      <c r="A150" s="2" t="s">
        <v>75</v>
      </c>
      <c r="B150" s="2" t="s">
        <v>57</v>
      </c>
      <c r="C150" s="2" t="s">
        <v>16</v>
      </c>
      <c r="D150" s="2" t="s">
        <v>18</v>
      </c>
      <c r="E150" s="2">
        <v>48</v>
      </c>
      <c r="F150" s="2">
        <v>22032</v>
      </c>
      <c r="G150" s="2">
        <v>6667</v>
      </c>
      <c r="H150" s="2">
        <v>6</v>
      </c>
      <c r="I150" s="2">
        <v>65</v>
      </c>
      <c r="J150" s="2">
        <v>0</v>
      </c>
      <c r="K150" s="2">
        <v>4.4000000000000004</v>
      </c>
      <c r="L150" s="3">
        <f t="shared" si="6"/>
        <v>0.30260530137981118</v>
      </c>
      <c r="M150" s="4">
        <f t="shared" si="7"/>
        <v>459</v>
      </c>
      <c r="N150" s="2">
        <f t="shared" si="8"/>
        <v>8</v>
      </c>
    </row>
    <row r="151" spans="1:14" x14ac:dyDescent="0.25">
      <c r="A151" s="5" t="s">
        <v>75</v>
      </c>
      <c r="B151" s="5" t="s">
        <v>57</v>
      </c>
      <c r="C151" s="5" t="s">
        <v>16</v>
      </c>
      <c r="D151" s="5" t="s">
        <v>19</v>
      </c>
      <c r="E151" s="5">
        <v>33</v>
      </c>
      <c r="F151" s="5">
        <v>9273</v>
      </c>
      <c r="G151" s="5">
        <v>3706</v>
      </c>
      <c r="H151" s="5">
        <v>6</v>
      </c>
      <c r="I151" s="5">
        <v>48</v>
      </c>
      <c r="J151" s="5">
        <v>1</v>
      </c>
      <c r="K151" s="5">
        <v>4.5</v>
      </c>
      <c r="L151" s="6">
        <f t="shared" si="6"/>
        <v>0.39965491211042814</v>
      </c>
      <c r="M151" s="7">
        <f t="shared" si="7"/>
        <v>281</v>
      </c>
      <c r="N151" s="5">
        <f t="shared" si="8"/>
        <v>5.5</v>
      </c>
    </row>
    <row r="152" spans="1:14" x14ac:dyDescent="0.25">
      <c r="A152" s="2" t="s">
        <v>76</v>
      </c>
      <c r="B152" s="2" t="s">
        <v>57</v>
      </c>
      <c r="C152" s="2" t="s">
        <v>21</v>
      </c>
      <c r="D152" s="2" t="s">
        <v>17</v>
      </c>
      <c r="E152" s="2">
        <v>15</v>
      </c>
      <c r="F152" s="2">
        <v>3045</v>
      </c>
      <c r="G152" s="2">
        <v>956</v>
      </c>
      <c r="H152" s="2">
        <v>3</v>
      </c>
      <c r="I152" s="2">
        <v>47</v>
      </c>
      <c r="J152" s="2">
        <v>1</v>
      </c>
      <c r="K152" s="2">
        <v>4.4000000000000004</v>
      </c>
      <c r="L152" s="3">
        <f t="shared" si="6"/>
        <v>0.31395730706075536</v>
      </c>
      <c r="M152" s="4">
        <f t="shared" si="7"/>
        <v>203</v>
      </c>
      <c r="N152" s="2">
        <f t="shared" si="8"/>
        <v>5</v>
      </c>
    </row>
    <row r="153" spans="1:14" x14ac:dyDescent="0.25">
      <c r="A153" s="5" t="s">
        <v>76</v>
      </c>
      <c r="B153" s="5" t="s">
        <v>57</v>
      </c>
      <c r="C153" s="5" t="s">
        <v>21</v>
      </c>
      <c r="D153" s="5" t="s">
        <v>18</v>
      </c>
      <c r="E153" s="5">
        <v>105</v>
      </c>
      <c r="F153" s="5">
        <v>43260</v>
      </c>
      <c r="G153" s="5">
        <v>17992</v>
      </c>
      <c r="H153" s="5">
        <v>7</v>
      </c>
      <c r="I153" s="5">
        <v>67</v>
      </c>
      <c r="J153" s="5">
        <v>1</v>
      </c>
      <c r="K153" s="5">
        <v>3.5</v>
      </c>
      <c r="L153" s="6">
        <f t="shared" si="6"/>
        <v>0.41590383726306057</v>
      </c>
      <c r="M153" s="7">
        <f t="shared" si="7"/>
        <v>412</v>
      </c>
      <c r="N153" s="5">
        <f t="shared" si="8"/>
        <v>15</v>
      </c>
    </row>
    <row r="154" spans="1:14" x14ac:dyDescent="0.25">
      <c r="A154" s="2" t="s">
        <v>76</v>
      </c>
      <c r="B154" s="2" t="s">
        <v>57</v>
      </c>
      <c r="C154" s="2" t="s">
        <v>21</v>
      </c>
      <c r="D154" s="2" t="s">
        <v>19</v>
      </c>
      <c r="E154" s="2">
        <v>30</v>
      </c>
      <c r="F154" s="2">
        <v>7830</v>
      </c>
      <c r="G154" s="2">
        <v>2335</v>
      </c>
      <c r="H154" s="2">
        <v>4</v>
      </c>
      <c r="I154" s="2">
        <v>48</v>
      </c>
      <c r="J154" s="2">
        <v>1</v>
      </c>
      <c r="K154" s="2">
        <v>4.3</v>
      </c>
      <c r="L154" s="3">
        <f t="shared" si="6"/>
        <v>0.29821200510855683</v>
      </c>
      <c r="M154" s="4">
        <f t="shared" si="7"/>
        <v>261</v>
      </c>
      <c r="N154" s="2">
        <f t="shared" si="8"/>
        <v>7.5</v>
      </c>
    </row>
    <row r="155" spans="1:14" x14ac:dyDescent="0.25">
      <c r="A155" s="5" t="s">
        <v>77</v>
      </c>
      <c r="B155" s="5" t="s">
        <v>57</v>
      </c>
      <c r="C155" s="5" t="s">
        <v>23</v>
      </c>
      <c r="D155" s="5" t="s">
        <v>17</v>
      </c>
      <c r="E155" s="5">
        <v>25</v>
      </c>
      <c r="F155" s="5">
        <v>6250</v>
      </c>
      <c r="G155" s="5">
        <v>1970</v>
      </c>
      <c r="H155" s="5">
        <v>4</v>
      </c>
      <c r="I155" s="5">
        <v>55</v>
      </c>
      <c r="J155" s="5">
        <v>2</v>
      </c>
      <c r="K155" s="5">
        <v>3.9</v>
      </c>
      <c r="L155" s="6">
        <f t="shared" si="6"/>
        <v>0.31519999999999998</v>
      </c>
      <c r="M155" s="7">
        <f t="shared" si="7"/>
        <v>250</v>
      </c>
      <c r="N155" s="5">
        <f t="shared" si="8"/>
        <v>6.25</v>
      </c>
    </row>
    <row r="156" spans="1:14" x14ac:dyDescent="0.25">
      <c r="A156" s="2" t="s">
        <v>77</v>
      </c>
      <c r="B156" s="2" t="s">
        <v>57</v>
      </c>
      <c r="C156" s="2" t="s">
        <v>23</v>
      </c>
      <c r="D156" s="2" t="s">
        <v>18</v>
      </c>
      <c r="E156" s="2">
        <v>116</v>
      </c>
      <c r="F156" s="2">
        <v>46168</v>
      </c>
      <c r="G156" s="2">
        <v>14811</v>
      </c>
      <c r="H156" s="2">
        <v>10</v>
      </c>
      <c r="I156" s="2">
        <v>47</v>
      </c>
      <c r="J156" s="2">
        <v>0</v>
      </c>
      <c r="K156" s="2">
        <v>3.9</v>
      </c>
      <c r="L156" s="3">
        <f t="shared" si="6"/>
        <v>0.32080661930341364</v>
      </c>
      <c r="M156" s="4">
        <f t="shared" si="7"/>
        <v>398</v>
      </c>
      <c r="N156" s="2">
        <f t="shared" si="8"/>
        <v>11.6</v>
      </c>
    </row>
    <row r="157" spans="1:14" x14ac:dyDescent="0.25">
      <c r="A157" s="5" t="s">
        <v>77</v>
      </c>
      <c r="B157" s="5" t="s">
        <v>57</v>
      </c>
      <c r="C157" s="5" t="s">
        <v>23</v>
      </c>
      <c r="D157" s="5" t="s">
        <v>19</v>
      </c>
      <c r="E157" s="5">
        <v>24</v>
      </c>
      <c r="F157" s="5">
        <v>6384</v>
      </c>
      <c r="G157" s="5">
        <v>1961</v>
      </c>
      <c r="H157" s="5">
        <v>6</v>
      </c>
      <c r="I157" s="5">
        <v>52</v>
      </c>
      <c r="J157" s="5">
        <v>2</v>
      </c>
      <c r="K157" s="5">
        <v>4</v>
      </c>
      <c r="L157" s="6">
        <f t="shared" si="6"/>
        <v>0.30717418546365916</v>
      </c>
      <c r="M157" s="7">
        <f t="shared" si="7"/>
        <v>266</v>
      </c>
      <c r="N157" s="5">
        <f t="shared" si="8"/>
        <v>4</v>
      </c>
    </row>
    <row r="158" spans="1:14" x14ac:dyDescent="0.25">
      <c r="A158" s="2" t="s">
        <v>78</v>
      </c>
      <c r="B158" s="2" t="s">
        <v>57</v>
      </c>
      <c r="C158" s="2" t="s">
        <v>25</v>
      </c>
      <c r="D158" s="2" t="s">
        <v>17</v>
      </c>
      <c r="E158" s="2">
        <v>39</v>
      </c>
      <c r="F158" s="2">
        <v>7215</v>
      </c>
      <c r="G158" s="2">
        <v>2721</v>
      </c>
      <c r="H158" s="2">
        <v>3</v>
      </c>
      <c r="I158" s="2">
        <v>52</v>
      </c>
      <c r="J158" s="2">
        <v>2</v>
      </c>
      <c r="K158" s="2">
        <v>3.8</v>
      </c>
      <c r="L158" s="3">
        <f t="shared" si="6"/>
        <v>0.37713097713097715</v>
      </c>
      <c r="M158" s="4">
        <f t="shared" si="7"/>
        <v>185</v>
      </c>
      <c r="N158" s="2">
        <f t="shared" si="8"/>
        <v>13</v>
      </c>
    </row>
    <row r="159" spans="1:14" x14ac:dyDescent="0.25">
      <c r="A159" s="5" t="s">
        <v>78</v>
      </c>
      <c r="B159" s="5" t="s">
        <v>57</v>
      </c>
      <c r="C159" s="5" t="s">
        <v>25</v>
      </c>
      <c r="D159" s="5" t="s">
        <v>18</v>
      </c>
      <c r="E159" s="5">
        <v>103</v>
      </c>
      <c r="F159" s="5">
        <v>29458</v>
      </c>
      <c r="G159" s="5">
        <v>10169</v>
      </c>
      <c r="H159" s="5">
        <v>6</v>
      </c>
      <c r="I159" s="5">
        <v>46</v>
      </c>
      <c r="J159" s="5">
        <v>0</v>
      </c>
      <c r="K159" s="5">
        <v>4.5999999999999996</v>
      </c>
      <c r="L159" s="6">
        <f t="shared" si="6"/>
        <v>0.34520334034897143</v>
      </c>
      <c r="M159" s="7">
        <f t="shared" si="7"/>
        <v>286</v>
      </c>
      <c r="N159" s="5">
        <f t="shared" si="8"/>
        <v>17.166666666666668</v>
      </c>
    </row>
    <row r="160" spans="1:14" x14ac:dyDescent="0.25">
      <c r="A160" s="2" t="s">
        <v>78</v>
      </c>
      <c r="B160" s="2" t="s">
        <v>57</v>
      </c>
      <c r="C160" s="2" t="s">
        <v>25</v>
      </c>
      <c r="D160" s="2" t="s">
        <v>19</v>
      </c>
      <c r="E160" s="2">
        <v>51</v>
      </c>
      <c r="F160" s="2">
        <v>16983</v>
      </c>
      <c r="G160" s="2">
        <v>6261</v>
      </c>
      <c r="H160" s="2">
        <v>4</v>
      </c>
      <c r="I160" s="2">
        <v>45</v>
      </c>
      <c r="J160" s="2">
        <v>1</v>
      </c>
      <c r="K160" s="2">
        <v>4.0999999999999996</v>
      </c>
      <c r="L160" s="3">
        <f t="shared" si="6"/>
        <v>0.36866278042748629</v>
      </c>
      <c r="M160" s="4">
        <f t="shared" si="7"/>
        <v>333</v>
      </c>
      <c r="N160" s="2">
        <f t="shared" si="8"/>
        <v>12.75</v>
      </c>
    </row>
    <row r="161" spans="1:14" x14ac:dyDescent="0.25">
      <c r="A161" s="5" t="s">
        <v>79</v>
      </c>
      <c r="B161" s="5" t="s">
        <v>57</v>
      </c>
      <c r="C161" s="5" t="s">
        <v>27</v>
      </c>
      <c r="D161" s="5" t="s">
        <v>17</v>
      </c>
      <c r="E161" s="5">
        <v>36</v>
      </c>
      <c r="F161" s="5">
        <v>6732</v>
      </c>
      <c r="G161" s="5">
        <v>2168</v>
      </c>
      <c r="H161" s="5">
        <v>4</v>
      </c>
      <c r="I161" s="5">
        <v>47</v>
      </c>
      <c r="J161" s="5">
        <v>1</v>
      </c>
      <c r="K161" s="5">
        <v>4.0999999999999996</v>
      </c>
      <c r="L161" s="6">
        <f t="shared" si="6"/>
        <v>0.32204396910279265</v>
      </c>
      <c r="M161" s="7">
        <f t="shared" si="7"/>
        <v>187</v>
      </c>
      <c r="N161" s="5">
        <f t="shared" si="8"/>
        <v>9</v>
      </c>
    </row>
    <row r="162" spans="1:14" x14ac:dyDescent="0.25">
      <c r="A162" s="2" t="s">
        <v>79</v>
      </c>
      <c r="B162" s="2" t="s">
        <v>57</v>
      </c>
      <c r="C162" s="2" t="s">
        <v>27</v>
      </c>
      <c r="D162" s="2" t="s">
        <v>18</v>
      </c>
      <c r="E162" s="2">
        <v>178</v>
      </c>
      <c r="F162" s="2">
        <v>51264</v>
      </c>
      <c r="G162" s="2">
        <v>20249</v>
      </c>
      <c r="H162" s="2">
        <v>6</v>
      </c>
      <c r="I162" s="2">
        <v>72</v>
      </c>
      <c r="J162" s="2">
        <v>4</v>
      </c>
      <c r="K162" s="2">
        <v>3.7</v>
      </c>
      <c r="L162" s="3">
        <f t="shared" si="6"/>
        <v>0.39499453807740326</v>
      </c>
      <c r="M162" s="4">
        <f t="shared" si="7"/>
        <v>288</v>
      </c>
      <c r="N162" s="2">
        <f t="shared" si="8"/>
        <v>29.666666666666668</v>
      </c>
    </row>
    <row r="163" spans="1:14" x14ac:dyDescent="0.25">
      <c r="A163" s="5" t="s">
        <v>79</v>
      </c>
      <c r="B163" s="5" t="s">
        <v>57</v>
      </c>
      <c r="C163" s="5" t="s">
        <v>27</v>
      </c>
      <c r="D163" s="5" t="s">
        <v>19</v>
      </c>
      <c r="E163" s="5">
        <v>40</v>
      </c>
      <c r="F163" s="5">
        <v>11440</v>
      </c>
      <c r="G163" s="5">
        <v>4220</v>
      </c>
      <c r="H163" s="5">
        <v>4</v>
      </c>
      <c r="I163" s="5">
        <v>56</v>
      </c>
      <c r="J163" s="5">
        <v>1</v>
      </c>
      <c r="K163" s="5">
        <v>4.2</v>
      </c>
      <c r="L163" s="6">
        <f t="shared" si="6"/>
        <v>0.36888111888111891</v>
      </c>
      <c r="M163" s="7">
        <f t="shared" si="7"/>
        <v>286</v>
      </c>
      <c r="N163" s="5">
        <f t="shared" si="8"/>
        <v>10</v>
      </c>
    </row>
    <row r="164" spans="1:14" x14ac:dyDescent="0.25">
      <c r="A164" s="2" t="s">
        <v>80</v>
      </c>
      <c r="B164" s="2" t="s">
        <v>57</v>
      </c>
      <c r="C164" s="2" t="s">
        <v>29</v>
      </c>
      <c r="D164" s="2" t="s">
        <v>17</v>
      </c>
      <c r="E164" s="2">
        <v>29</v>
      </c>
      <c r="F164" s="2">
        <v>5539</v>
      </c>
      <c r="G164" s="2">
        <v>2284</v>
      </c>
      <c r="H164" s="2">
        <v>5</v>
      </c>
      <c r="I164" s="2">
        <v>35</v>
      </c>
      <c r="J164" s="2">
        <v>0</v>
      </c>
      <c r="K164" s="2">
        <v>4.0999999999999996</v>
      </c>
      <c r="L164" s="3">
        <f t="shared" si="6"/>
        <v>0.41234879942227837</v>
      </c>
      <c r="M164" s="4">
        <f t="shared" si="7"/>
        <v>191</v>
      </c>
      <c r="N164" s="2">
        <f t="shared" si="8"/>
        <v>5.8</v>
      </c>
    </row>
    <row r="165" spans="1:14" x14ac:dyDescent="0.25">
      <c r="A165" s="5" t="s">
        <v>80</v>
      </c>
      <c r="B165" s="5" t="s">
        <v>57</v>
      </c>
      <c r="C165" s="5" t="s">
        <v>29</v>
      </c>
      <c r="D165" s="5" t="s">
        <v>18</v>
      </c>
      <c r="E165" s="5">
        <v>130</v>
      </c>
      <c r="F165" s="5">
        <v>45370</v>
      </c>
      <c r="G165" s="5">
        <v>15514</v>
      </c>
      <c r="H165" s="5">
        <v>6</v>
      </c>
      <c r="I165" s="5">
        <v>71</v>
      </c>
      <c r="J165" s="5">
        <v>4</v>
      </c>
      <c r="K165" s="5">
        <v>4.5999999999999996</v>
      </c>
      <c r="L165" s="6">
        <f t="shared" si="6"/>
        <v>0.34194401586951728</v>
      </c>
      <c r="M165" s="7">
        <f t="shared" si="7"/>
        <v>349</v>
      </c>
      <c r="N165" s="5">
        <f t="shared" si="8"/>
        <v>21.666666666666668</v>
      </c>
    </row>
    <row r="166" spans="1:14" x14ac:dyDescent="0.25">
      <c r="A166" s="2" t="s">
        <v>80</v>
      </c>
      <c r="B166" s="2" t="s">
        <v>57</v>
      </c>
      <c r="C166" s="2" t="s">
        <v>29</v>
      </c>
      <c r="D166" s="2" t="s">
        <v>19</v>
      </c>
      <c r="E166" s="2">
        <v>98</v>
      </c>
      <c r="F166" s="2">
        <v>34202</v>
      </c>
      <c r="G166" s="2">
        <v>10043</v>
      </c>
      <c r="H166" s="2">
        <v>4</v>
      </c>
      <c r="I166" s="2">
        <v>44</v>
      </c>
      <c r="J166" s="2">
        <v>0</v>
      </c>
      <c r="K166" s="2">
        <v>4.4000000000000004</v>
      </c>
      <c r="L166" s="3">
        <f t="shared" si="6"/>
        <v>0.29363779895912517</v>
      </c>
      <c r="M166" s="4">
        <f t="shared" si="7"/>
        <v>349</v>
      </c>
      <c r="N166" s="2">
        <f t="shared" si="8"/>
        <v>24.5</v>
      </c>
    </row>
    <row r="167" spans="1:14" x14ac:dyDescent="0.25">
      <c r="A167" s="5" t="s">
        <v>81</v>
      </c>
      <c r="B167" s="5" t="s">
        <v>57</v>
      </c>
      <c r="C167" s="5" t="s">
        <v>31</v>
      </c>
      <c r="D167" s="5" t="s">
        <v>17</v>
      </c>
      <c r="E167" s="5">
        <v>67</v>
      </c>
      <c r="F167" s="5">
        <v>18224</v>
      </c>
      <c r="G167" s="5">
        <v>5706</v>
      </c>
      <c r="H167" s="5">
        <v>5</v>
      </c>
      <c r="I167" s="5">
        <v>43</v>
      </c>
      <c r="J167" s="5">
        <v>1</v>
      </c>
      <c r="K167" s="5">
        <v>4</v>
      </c>
      <c r="L167" s="6">
        <f t="shared" si="6"/>
        <v>0.31310359964881473</v>
      </c>
      <c r="M167" s="7">
        <f t="shared" si="7"/>
        <v>272</v>
      </c>
      <c r="N167" s="5">
        <f t="shared" si="8"/>
        <v>13.4</v>
      </c>
    </row>
    <row r="168" spans="1:14" x14ac:dyDescent="0.25">
      <c r="A168" s="2" t="s">
        <v>81</v>
      </c>
      <c r="B168" s="2" t="s">
        <v>57</v>
      </c>
      <c r="C168" s="2" t="s">
        <v>31</v>
      </c>
      <c r="D168" s="2" t="s">
        <v>18</v>
      </c>
      <c r="E168" s="2">
        <v>167</v>
      </c>
      <c r="F168" s="2">
        <v>66132</v>
      </c>
      <c r="G168" s="2">
        <v>22307</v>
      </c>
      <c r="H168" s="2">
        <v>8</v>
      </c>
      <c r="I168" s="2">
        <v>63</v>
      </c>
      <c r="J168" s="2">
        <v>3</v>
      </c>
      <c r="K168" s="2">
        <v>4.5</v>
      </c>
      <c r="L168" s="3">
        <f t="shared" si="6"/>
        <v>0.3373102280287909</v>
      </c>
      <c r="M168" s="4">
        <f t="shared" si="7"/>
        <v>396</v>
      </c>
      <c r="N168" s="2">
        <f t="shared" si="8"/>
        <v>20.875</v>
      </c>
    </row>
    <row r="169" spans="1:14" x14ac:dyDescent="0.25">
      <c r="A169" s="5" t="s">
        <v>81</v>
      </c>
      <c r="B169" s="5" t="s">
        <v>57</v>
      </c>
      <c r="C169" s="5" t="s">
        <v>31</v>
      </c>
      <c r="D169" s="5" t="s">
        <v>19</v>
      </c>
      <c r="E169" s="5">
        <v>39</v>
      </c>
      <c r="F169" s="5">
        <v>10569</v>
      </c>
      <c r="G169" s="5">
        <v>3633</v>
      </c>
      <c r="H169" s="5">
        <v>4</v>
      </c>
      <c r="I169" s="5">
        <v>42</v>
      </c>
      <c r="J169" s="5">
        <v>1</v>
      </c>
      <c r="K169" s="5">
        <v>4</v>
      </c>
      <c r="L169" s="6">
        <f t="shared" si="6"/>
        <v>0.34374112971898951</v>
      </c>
      <c r="M169" s="7">
        <f t="shared" si="7"/>
        <v>271</v>
      </c>
      <c r="N169" s="5">
        <f t="shared" si="8"/>
        <v>9.75</v>
      </c>
    </row>
    <row r="170" spans="1:14" x14ac:dyDescent="0.25">
      <c r="A170" s="2" t="s">
        <v>82</v>
      </c>
      <c r="B170" s="2" t="s">
        <v>57</v>
      </c>
      <c r="C170" s="2" t="s">
        <v>16</v>
      </c>
      <c r="D170" s="2" t="s">
        <v>17</v>
      </c>
      <c r="E170" s="2">
        <v>30</v>
      </c>
      <c r="F170" s="2">
        <v>7740</v>
      </c>
      <c r="G170" s="2">
        <v>2780</v>
      </c>
      <c r="H170" s="2">
        <v>3</v>
      </c>
      <c r="I170" s="2">
        <v>46</v>
      </c>
      <c r="J170" s="2">
        <v>2</v>
      </c>
      <c r="K170" s="2">
        <v>4.4000000000000004</v>
      </c>
      <c r="L170" s="3">
        <f t="shared" si="6"/>
        <v>0.35917312661498707</v>
      </c>
      <c r="M170" s="4">
        <f t="shared" si="7"/>
        <v>258</v>
      </c>
      <c r="N170" s="2">
        <f t="shared" si="8"/>
        <v>10</v>
      </c>
    </row>
    <row r="171" spans="1:14" x14ac:dyDescent="0.25">
      <c r="A171" s="5" t="s">
        <v>82</v>
      </c>
      <c r="B171" s="5" t="s">
        <v>57</v>
      </c>
      <c r="C171" s="5" t="s">
        <v>16</v>
      </c>
      <c r="D171" s="5" t="s">
        <v>18</v>
      </c>
      <c r="E171" s="5">
        <v>93</v>
      </c>
      <c r="F171" s="5">
        <v>42780</v>
      </c>
      <c r="G171" s="5">
        <v>17351</v>
      </c>
      <c r="H171" s="5">
        <v>8</v>
      </c>
      <c r="I171" s="5">
        <v>58</v>
      </c>
      <c r="J171" s="5">
        <v>1</v>
      </c>
      <c r="K171" s="5">
        <v>4.5999999999999996</v>
      </c>
      <c r="L171" s="6">
        <f t="shared" si="6"/>
        <v>0.40558672276764846</v>
      </c>
      <c r="M171" s="7">
        <f t="shared" si="7"/>
        <v>460</v>
      </c>
      <c r="N171" s="5">
        <f t="shared" si="8"/>
        <v>11.625</v>
      </c>
    </row>
    <row r="172" spans="1:14" x14ac:dyDescent="0.25">
      <c r="A172" s="2" t="s">
        <v>82</v>
      </c>
      <c r="B172" s="2" t="s">
        <v>57</v>
      </c>
      <c r="C172" s="2" t="s">
        <v>16</v>
      </c>
      <c r="D172" s="2" t="s">
        <v>19</v>
      </c>
      <c r="E172" s="2">
        <v>48</v>
      </c>
      <c r="F172" s="2">
        <v>10896</v>
      </c>
      <c r="G172" s="2">
        <v>3588</v>
      </c>
      <c r="H172" s="2">
        <v>5</v>
      </c>
      <c r="I172" s="2">
        <v>54</v>
      </c>
      <c r="J172" s="2">
        <v>3</v>
      </c>
      <c r="K172" s="2">
        <v>4</v>
      </c>
      <c r="L172" s="3">
        <f t="shared" si="6"/>
        <v>0.32929515418502203</v>
      </c>
      <c r="M172" s="4">
        <f t="shared" si="7"/>
        <v>227</v>
      </c>
      <c r="N172" s="2">
        <f t="shared" si="8"/>
        <v>9.6</v>
      </c>
    </row>
    <row r="173" spans="1:14" x14ac:dyDescent="0.25">
      <c r="A173" s="5" t="s">
        <v>83</v>
      </c>
      <c r="B173" s="5" t="s">
        <v>57</v>
      </c>
      <c r="C173" s="5" t="s">
        <v>21</v>
      </c>
      <c r="D173" s="5" t="s">
        <v>17</v>
      </c>
      <c r="E173" s="5">
        <v>44</v>
      </c>
      <c r="F173" s="5">
        <v>7920</v>
      </c>
      <c r="G173" s="5">
        <v>2651</v>
      </c>
      <c r="H173" s="5">
        <v>4</v>
      </c>
      <c r="I173" s="5">
        <v>36</v>
      </c>
      <c r="J173" s="5">
        <v>0</v>
      </c>
      <c r="K173" s="5">
        <v>4.2</v>
      </c>
      <c r="L173" s="6">
        <f t="shared" si="6"/>
        <v>0.3347222222222222</v>
      </c>
      <c r="M173" s="7">
        <f t="shared" si="7"/>
        <v>180</v>
      </c>
      <c r="N173" s="5">
        <f t="shared" si="8"/>
        <v>11</v>
      </c>
    </row>
    <row r="174" spans="1:14" x14ac:dyDescent="0.25">
      <c r="A174" s="2" t="s">
        <v>83</v>
      </c>
      <c r="B174" s="2" t="s">
        <v>57</v>
      </c>
      <c r="C174" s="2" t="s">
        <v>21</v>
      </c>
      <c r="D174" s="2" t="s">
        <v>18</v>
      </c>
      <c r="E174" s="2">
        <v>83</v>
      </c>
      <c r="F174" s="2">
        <v>31291</v>
      </c>
      <c r="G174" s="2">
        <v>12297</v>
      </c>
      <c r="H174" s="2">
        <v>6</v>
      </c>
      <c r="I174" s="2">
        <v>54</v>
      </c>
      <c r="J174" s="2">
        <v>0</v>
      </c>
      <c r="K174" s="2">
        <v>3.9</v>
      </c>
      <c r="L174" s="3">
        <f t="shared" si="6"/>
        <v>0.39298839922022305</v>
      </c>
      <c r="M174" s="4">
        <f t="shared" si="7"/>
        <v>377</v>
      </c>
      <c r="N174" s="2">
        <f t="shared" si="8"/>
        <v>13.833333333333334</v>
      </c>
    </row>
    <row r="175" spans="1:14" x14ac:dyDescent="0.25">
      <c r="A175" s="5" t="s">
        <v>83</v>
      </c>
      <c r="B175" s="5" t="s">
        <v>57</v>
      </c>
      <c r="C175" s="5" t="s">
        <v>21</v>
      </c>
      <c r="D175" s="5" t="s">
        <v>19</v>
      </c>
      <c r="E175" s="5">
        <v>39</v>
      </c>
      <c r="F175" s="5">
        <v>10413</v>
      </c>
      <c r="G175" s="5">
        <v>4139</v>
      </c>
      <c r="H175" s="5">
        <v>6</v>
      </c>
      <c r="I175" s="5">
        <v>51</v>
      </c>
      <c r="J175" s="5">
        <v>1</v>
      </c>
      <c r="K175" s="5">
        <v>4.5999999999999996</v>
      </c>
      <c r="L175" s="6">
        <f t="shared" si="6"/>
        <v>0.39748391433784691</v>
      </c>
      <c r="M175" s="7">
        <f t="shared" si="7"/>
        <v>267</v>
      </c>
      <c r="N175" s="5">
        <f t="shared" si="8"/>
        <v>6.5</v>
      </c>
    </row>
    <row r="176" spans="1:14" x14ac:dyDescent="0.25">
      <c r="A176" s="2" t="s">
        <v>84</v>
      </c>
      <c r="B176" s="2" t="s">
        <v>57</v>
      </c>
      <c r="C176" s="2" t="s">
        <v>23</v>
      </c>
      <c r="D176" s="2" t="s">
        <v>17</v>
      </c>
      <c r="E176" s="2">
        <v>21</v>
      </c>
      <c r="F176" s="2">
        <v>5229</v>
      </c>
      <c r="G176" s="2">
        <v>1866</v>
      </c>
      <c r="H176" s="2">
        <v>3</v>
      </c>
      <c r="I176" s="2">
        <v>46</v>
      </c>
      <c r="J176" s="2">
        <v>0</v>
      </c>
      <c r="K176" s="2">
        <v>3.8</v>
      </c>
      <c r="L176" s="3">
        <f t="shared" si="6"/>
        <v>0.35685599541021229</v>
      </c>
      <c r="M176" s="4">
        <f t="shared" si="7"/>
        <v>249</v>
      </c>
      <c r="N176" s="2">
        <f t="shared" si="8"/>
        <v>7</v>
      </c>
    </row>
    <row r="177" spans="1:14" x14ac:dyDescent="0.25">
      <c r="A177" s="5" t="s">
        <v>84</v>
      </c>
      <c r="B177" s="5" t="s">
        <v>57</v>
      </c>
      <c r="C177" s="5" t="s">
        <v>23</v>
      </c>
      <c r="D177" s="5" t="s">
        <v>18</v>
      </c>
      <c r="E177" s="5">
        <v>85</v>
      </c>
      <c r="F177" s="5">
        <v>29240</v>
      </c>
      <c r="G177" s="5">
        <v>8799</v>
      </c>
      <c r="H177" s="5">
        <v>10</v>
      </c>
      <c r="I177" s="5">
        <v>48</v>
      </c>
      <c r="J177" s="5">
        <v>1</v>
      </c>
      <c r="K177" s="5">
        <v>4.4000000000000004</v>
      </c>
      <c r="L177" s="6">
        <f t="shared" si="6"/>
        <v>0.30092339261285911</v>
      </c>
      <c r="M177" s="7">
        <f t="shared" si="7"/>
        <v>344</v>
      </c>
      <c r="N177" s="5">
        <f t="shared" si="8"/>
        <v>8.5</v>
      </c>
    </row>
    <row r="178" spans="1:14" x14ac:dyDescent="0.25">
      <c r="A178" s="2" t="s">
        <v>84</v>
      </c>
      <c r="B178" s="2" t="s">
        <v>57</v>
      </c>
      <c r="C178" s="2" t="s">
        <v>23</v>
      </c>
      <c r="D178" s="2" t="s">
        <v>19</v>
      </c>
      <c r="E178" s="2">
        <v>51</v>
      </c>
      <c r="F178" s="2">
        <v>14178</v>
      </c>
      <c r="G178" s="2">
        <v>4682</v>
      </c>
      <c r="H178" s="2">
        <v>6</v>
      </c>
      <c r="I178" s="2">
        <v>63</v>
      </c>
      <c r="J178" s="2">
        <v>3</v>
      </c>
      <c r="K178" s="2">
        <v>3.7</v>
      </c>
      <c r="L178" s="3">
        <f t="shared" si="6"/>
        <v>0.33022993370009873</v>
      </c>
      <c r="M178" s="4">
        <f t="shared" si="7"/>
        <v>278</v>
      </c>
      <c r="N178" s="2">
        <f t="shared" si="8"/>
        <v>8.5</v>
      </c>
    </row>
    <row r="179" spans="1:14" x14ac:dyDescent="0.25">
      <c r="A179" s="5" t="s">
        <v>85</v>
      </c>
      <c r="B179" s="5" t="s">
        <v>57</v>
      </c>
      <c r="C179" s="5" t="s">
        <v>25</v>
      </c>
      <c r="D179" s="5" t="s">
        <v>17</v>
      </c>
      <c r="E179" s="5">
        <v>17</v>
      </c>
      <c r="F179" s="5">
        <v>4709</v>
      </c>
      <c r="G179" s="5">
        <v>1416</v>
      </c>
      <c r="H179" s="5">
        <v>5</v>
      </c>
      <c r="I179" s="5">
        <v>37</v>
      </c>
      <c r="J179" s="5">
        <v>2</v>
      </c>
      <c r="K179" s="5">
        <v>4.3</v>
      </c>
      <c r="L179" s="6">
        <f t="shared" si="6"/>
        <v>0.30070078572945425</v>
      </c>
      <c r="M179" s="7">
        <f t="shared" si="7"/>
        <v>277</v>
      </c>
      <c r="N179" s="5">
        <f t="shared" si="8"/>
        <v>3.4</v>
      </c>
    </row>
    <row r="180" spans="1:14" x14ac:dyDescent="0.25">
      <c r="A180" s="2" t="s">
        <v>85</v>
      </c>
      <c r="B180" s="2" t="s">
        <v>57</v>
      </c>
      <c r="C180" s="2" t="s">
        <v>25</v>
      </c>
      <c r="D180" s="2" t="s">
        <v>18</v>
      </c>
      <c r="E180" s="2">
        <v>90</v>
      </c>
      <c r="F180" s="2">
        <v>31500</v>
      </c>
      <c r="G180" s="2">
        <v>11901</v>
      </c>
      <c r="H180" s="2">
        <v>8</v>
      </c>
      <c r="I180" s="2">
        <v>46</v>
      </c>
      <c r="J180" s="2">
        <v>3</v>
      </c>
      <c r="K180" s="2">
        <v>4.7</v>
      </c>
      <c r="L180" s="3">
        <f t="shared" si="6"/>
        <v>0.37780952380952382</v>
      </c>
      <c r="M180" s="4">
        <f t="shared" si="7"/>
        <v>350</v>
      </c>
      <c r="N180" s="2">
        <f t="shared" si="8"/>
        <v>11.25</v>
      </c>
    </row>
    <row r="181" spans="1:14" x14ac:dyDescent="0.25">
      <c r="A181" s="5" t="s">
        <v>85</v>
      </c>
      <c r="B181" s="5" t="s">
        <v>57</v>
      </c>
      <c r="C181" s="5" t="s">
        <v>25</v>
      </c>
      <c r="D181" s="5" t="s">
        <v>19</v>
      </c>
      <c r="E181" s="5">
        <v>68</v>
      </c>
      <c r="F181" s="5">
        <v>17476</v>
      </c>
      <c r="G181" s="5">
        <v>5306</v>
      </c>
      <c r="H181" s="5">
        <v>4</v>
      </c>
      <c r="I181" s="5">
        <v>59</v>
      </c>
      <c r="J181" s="5">
        <v>3</v>
      </c>
      <c r="K181" s="5">
        <v>4.3</v>
      </c>
      <c r="L181" s="6">
        <f t="shared" si="6"/>
        <v>0.30361638818951703</v>
      </c>
      <c r="M181" s="7">
        <f t="shared" si="7"/>
        <v>257</v>
      </c>
      <c r="N181" s="5">
        <f t="shared" si="8"/>
        <v>17</v>
      </c>
    </row>
    <row r="182" spans="1:14" x14ac:dyDescent="0.25">
      <c r="A182" s="2" t="s">
        <v>86</v>
      </c>
      <c r="B182" s="2" t="s">
        <v>87</v>
      </c>
      <c r="C182" s="2" t="s">
        <v>27</v>
      </c>
      <c r="D182" s="2" t="s">
        <v>17</v>
      </c>
      <c r="E182" s="2">
        <v>58</v>
      </c>
      <c r="F182" s="2">
        <v>15602</v>
      </c>
      <c r="G182" s="2">
        <v>6058</v>
      </c>
      <c r="H182" s="2">
        <v>3</v>
      </c>
      <c r="I182" s="2">
        <v>51</v>
      </c>
      <c r="J182" s="2">
        <v>2</v>
      </c>
      <c r="K182" s="2">
        <v>4</v>
      </c>
      <c r="L182" s="3">
        <f t="shared" si="6"/>
        <v>0.38828355339059095</v>
      </c>
      <c r="M182" s="4">
        <f t="shared" si="7"/>
        <v>269</v>
      </c>
      <c r="N182" s="2">
        <f t="shared" si="8"/>
        <v>19.333333333333332</v>
      </c>
    </row>
    <row r="183" spans="1:14" x14ac:dyDescent="0.25">
      <c r="A183" s="5" t="s">
        <v>86</v>
      </c>
      <c r="B183" s="5" t="s">
        <v>87</v>
      </c>
      <c r="C183" s="5" t="s">
        <v>27</v>
      </c>
      <c r="D183" s="5" t="s">
        <v>18</v>
      </c>
      <c r="E183" s="5">
        <v>112</v>
      </c>
      <c r="F183" s="5">
        <v>35392</v>
      </c>
      <c r="G183" s="5">
        <v>13154</v>
      </c>
      <c r="H183" s="5">
        <v>10</v>
      </c>
      <c r="I183" s="5">
        <v>60</v>
      </c>
      <c r="J183" s="5">
        <v>0</v>
      </c>
      <c r="K183" s="5">
        <v>4.2</v>
      </c>
      <c r="L183" s="6">
        <f t="shared" si="6"/>
        <v>0.37166591320072334</v>
      </c>
      <c r="M183" s="7">
        <f t="shared" si="7"/>
        <v>316</v>
      </c>
      <c r="N183" s="5">
        <f t="shared" si="8"/>
        <v>11.2</v>
      </c>
    </row>
    <row r="184" spans="1:14" x14ac:dyDescent="0.25">
      <c r="A184" s="2" t="s">
        <v>86</v>
      </c>
      <c r="B184" s="2" t="s">
        <v>87</v>
      </c>
      <c r="C184" s="2" t="s">
        <v>27</v>
      </c>
      <c r="D184" s="2" t="s">
        <v>19</v>
      </c>
      <c r="E184" s="2">
        <v>92</v>
      </c>
      <c r="F184" s="2">
        <v>18584</v>
      </c>
      <c r="G184" s="2">
        <v>6787</v>
      </c>
      <c r="H184" s="2">
        <v>6</v>
      </c>
      <c r="I184" s="2">
        <v>55</v>
      </c>
      <c r="J184" s="2">
        <v>3</v>
      </c>
      <c r="K184" s="2">
        <v>3.7</v>
      </c>
      <c r="L184" s="3">
        <f t="shared" si="6"/>
        <v>0.36520662935858805</v>
      </c>
      <c r="M184" s="4">
        <f t="shared" si="7"/>
        <v>202</v>
      </c>
      <c r="N184" s="2">
        <f t="shared" si="8"/>
        <v>15.333333333333334</v>
      </c>
    </row>
    <row r="185" spans="1:14" x14ac:dyDescent="0.25">
      <c r="A185" s="5" t="s">
        <v>88</v>
      </c>
      <c r="B185" s="5" t="s">
        <v>87</v>
      </c>
      <c r="C185" s="5" t="s">
        <v>29</v>
      </c>
      <c r="D185" s="5" t="s">
        <v>17</v>
      </c>
      <c r="E185" s="5">
        <v>54</v>
      </c>
      <c r="F185" s="5">
        <v>11610</v>
      </c>
      <c r="G185" s="5">
        <v>3466</v>
      </c>
      <c r="H185" s="5">
        <v>3</v>
      </c>
      <c r="I185" s="5">
        <v>48</v>
      </c>
      <c r="J185" s="5">
        <v>0</v>
      </c>
      <c r="K185" s="5">
        <v>4.5</v>
      </c>
      <c r="L185" s="6">
        <f t="shared" si="6"/>
        <v>0.29853574504737296</v>
      </c>
      <c r="M185" s="7">
        <f t="shared" si="7"/>
        <v>215</v>
      </c>
      <c r="N185" s="5">
        <f t="shared" si="8"/>
        <v>18</v>
      </c>
    </row>
    <row r="186" spans="1:14" x14ac:dyDescent="0.25">
      <c r="A186" s="2" t="s">
        <v>88</v>
      </c>
      <c r="B186" s="2" t="s">
        <v>87</v>
      </c>
      <c r="C186" s="2" t="s">
        <v>29</v>
      </c>
      <c r="D186" s="2" t="s">
        <v>18</v>
      </c>
      <c r="E186" s="2">
        <v>95</v>
      </c>
      <c r="F186" s="2">
        <v>31065</v>
      </c>
      <c r="G186" s="2">
        <v>9676</v>
      </c>
      <c r="H186" s="2">
        <v>7</v>
      </c>
      <c r="I186" s="2">
        <v>51</v>
      </c>
      <c r="J186" s="2">
        <v>1</v>
      </c>
      <c r="K186" s="2">
        <v>3.6</v>
      </c>
      <c r="L186" s="3">
        <f t="shared" si="6"/>
        <v>0.31147593755029779</v>
      </c>
      <c r="M186" s="4">
        <f t="shared" si="7"/>
        <v>327</v>
      </c>
      <c r="N186" s="2">
        <f t="shared" si="8"/>
        <v>13.571428571428571</v>
      </c>
    </row>
    <row r="187" spans="1:14" x14ac:dyDescent="0.25">
      <c r="A187" s="5" t="s">
        <v>88</v>
      </c>
      <c r="B187" s="5" t="s">
        <v>87</v>
      </c>
      <c r="C187" s="5" t="s">
        <v>29</v>
      </c>
      <c r="D187" s="5" t="s">
        <v>19</v>
      </c>
      <c r="E187" s="5">
        <v>75</v>
      </c>
      <c r="F187" s="5">
        <v>21375</v>
      </c>
      <c r="G187" s="5">
        <v>8090</v>
      </c>
      <c r="H187" s="5">
        <v>6</v>
      </c>
      <c r="I187" s="5">
        <v>56</v>
      </c>
      <c r="J187" s="5">
        <v>3</v>
      </c>
      <c r="K187" s="5">
        <v>3.9</v>
      </c>
      <c r="L187" s="6">
        <f t="shared" si="6"/>
        <v>0.37847953216374269</v>
      </c>
      <c r="M187" s="7">
        <f t="shared" si="7"/>
        <v>285</v>
      </c>
      <c r="N187" s="5">
        <f t="shared" si="8"/>
        <v>12.5</v>
      </c>
    </row>
    <row r="188" spans="1:14" x14ac:dyDescent="0.25">
      <c r="A188" s="2" t="s">
        <v>89</v>
      </c>
      <c r="B188" s="2" t="s">
        <v>87</v>
      </c>
      <c r="C188" s="2" t="s">
        <v>31</v>
      </c>
      <c r="D188" s="2" t="s">
        <v>17</v>
      </c>
      <c r="E188" s="2">
        <v>67</v>
      </c>
      <c r="F188" s="2">
        <v>15611</v>
      </c>
      <c r="G188" s="2">
        <v>4939</v>
      </c>
      <c r="H188" s="2">
        <v>4</v>
      </c>
      <c r="I188" s="2">
        <v>53</v>
      </c>
      <c r="J188" s="2">
        <v>1</v>
      </c>
      <c r="K188" s="2">
        <v>4.4000000000000004</v>
      </c>
      <c r="L188" s="3">
        <f t="shared" si="6"/>
        <v>0.31637947601050542</v>
      </c>
      <c r="M188" s="4">
        <f t="shared" si="7"/>
        <v>233</v>
      </c>
      <c r="N188" s="2">
        <f t="shared" si="8"/>
        <v>16.75</v>
      </c>
    </row>
    <row r="189" spans="1:14" x14ac:dyDescent="0.25">
      <c r="A189" s="5" t="s">
        <v>89</v>
      </c>
      <c r="B189" s="5" t="s">
        <v>87</v>
      </c>
      <c r="C189" s="5" t="s">
        <v>31</v>
      </c>
      <c r="D189" s="5" t="s">
        <v>18</v>
      </c>
      <c r="E189" s="5">
        <v>188</v>
      </c>
      <c r="F189" s="5">
        <v>85540</v>
      </c>
      <c r="G189" s="5">
        <v>26882</v>
      </c>
      <c r="H189" s="5">
        <v>10</v>
      </c>
      <c r="I189" s="5">
        <v>46</v>
      </c>
      <c r="J189" s="5">
        <v>2</v>
      </c>
      <c r="K189" s="5">
        <v>3.9</v>
      </c>
      <c r="L189" s="6">
        <f t="shared" si="6"/>
        <v>0.31426233341126958</v>
      </c>
      <c r="M189" s="7">
        <f t="shared" si="7"/>
        <v>455</v>
      </c>
      <c r="N189" s="5">
        <f t="shared" si="8"/>
        <v>18.8</v>
      </c>
    </row>
    <row r="190" spans="1:14" x14ac:dyDescent="0.25">
      <c r="A190" s="2" t="s">
        <v>89</v>
      </c>
      <c r="B190" s="2" t="s">
        <v>87</v>
      </c>
      <c r="C190" s="2" t="s">
        <v>31</v>
      </c>
      <c r="D190" s="2" t="s">
        <v>19</v>
      </c>
      <c r="E190" s="2">
        <v>59</v>
      </c>
      <c r="F190" s="2">
        <v>19529</v>
      </c>
      <c r="G190" s="2">
        <v>6764</v>
      </c>
      <c r="H190" s="2">
        <v>4</v>
      </c>
      <c r="I190" s="2">
        <v>40</v>
      </c>
      <c r="J190" s="2">
        <v>1</v>
      </c>
      <c r="K190" s="2">
        <v>4.5</v>
      </c>
      <c r="L190" s="3">
        <f t="shared" si="6"/>
        <v>0.3463567002918736</v>
      </c>
      <c r="M190" s="4">
        <f t="shared" si="7"/>
        <v>331</v>
      </c>
      <c r="N190" s="2">
        <f t="shared" si="8"/>
        <v>14.75</v>
      </c>
    </row>
    <row r="191" spans="1:14" x14ac:dyDescent="0.25">
      <c r="A191" s="5" t="s">
        <v>90</v>
      </c>
      <c r="B191" s="5" t="s">
        <v>87</v>
      </c>
      <c r="C191" s="5" t="s">
        <v>16</v>
      </c>
      <c r="D191" s="5" t="s">
        <v>17</v>
      </c>
      <c r="E191" s="5">
        <v>28</v>
      </c>
      <c r="F191" s="5">
        <v>6804</v>
      </c>
      <c r="G191" s="5">
        <v>2169</v>
      </c>
      <c r="H191" s="5">
        <v>3</v>
      </c>
      <c r="I191" s="5">
        <v>38</v>
      </c>
      <c r="J191" s="5">
        <v>1</v>
      </c>
      <c r="K191" s="5">
        <v>3.9</v>
      </c>
      <c r="L191" s="6">
        <f t="shared" si="6"/>
        <v>0.31878306878306878</v>
      </c>
      <c r="M191" s="7">
        <f t="shared" si="7"/>
        <v>243</v>
      </c>
      <c r="N191" s="5">
        <f t="shared" si="8"/>
        <v>9.3333333333333339</v>
      </c>
    </row>
    <row r="192" spans="1:14" x14ac:dyDescent="0.25">
      <c r="A192" s="2" t="s">
        <v>90</v>
      </c>
      <c r="B192" s="2" t="s">
        <v>87</v>
      </c>
      <c r="C192" s="2" t="s">
        <v>16</v>
      </c>
      <c r="D192" s="2" t="s">
        <v>18</v>
      </c>
      <c r="E192" s="2">
        <v>46</v>
      </c>
      <c r="F192" s="2">
        <v>17756</v>
      </c>
      <c r="G192" s="2">
        <v>6509</v>
      </c>
      <c r="H192" s="2">
        <v>8</v>
      </c>
      <c r="I192" s="2">
        <v>62</v>
      </c>
      <c r="J192" s="2">
        <v>1</v>
      </c>
      <c r="K192" s="2">
        <v>4.8</v>
      </c>
      <c r="L192" s="3">
        <f t="shared" si="6"/>
        <v>0.36658031088082904</v>
      </c>
      <c r="M192" s="4">
        <f t="shared" si="7"/>
        <v>386</v>
      </c>
      <c r="N192" s="2">
        <f t="shared" si="8"/>
        <v>5.75</v>
      </c>
    </row>
    <row r="193" spans="1:14" x14ac:dyDescent="0.25">
      <c r="A193" s="5" t="s">
        <v>90</v>
      </c>
      <c r="B193" s="5" t="s">
        <v>87</v>
      </c>
      <c r="C193" s="5" t="s">
        <v>16</v>
      </c>
      <c r="D193" s="5" t="s">
        <v>19</v>
      </c>
      <c r="E193" s="5">
        <v>21</v>
      </c>
      <c r="F193" s="5">
        <v>6552</v>
      </c>
      <c r="G193" s="5">
        <v>2054</v>
      </c>
      <c r="H193" s="5">
        <v>5</v>
      </c>
      <c r="I193" s="5">
        <v>42</v>
      </c>
      <c r="J193" s="5">
        <v>1</v>
      </c>
      <c r="K193" s="5">
        <v>4.4000000000000004</v>
      </c>
      <c r="L193" s="6">
        <f t="shared" si="6"/>
        <v>0.31349206349206349</v>
      </c>
      <c r="M193" s="7">
        <f t="shared" si="7"/>
        <v>312</v>
      </c>
      <c r="N193" s="5">
        <f t="shared" si="8"/>
        <v>4.2</v>
      </c>
    </row>
    <row r="194" spans="1:14" x14ac:dyDescent="0.25">
      <c r="A194" s="2" t="s">
        <v>91</v>
      </c>
      <c r="B194" s="2" t="s">
        <v>87</v>
      </c>
      <c r="C194" s="2" t="s">
        <v>21</v>
      </c>
      <c r="D194" s="2" t="s">
        <v>17</v>
      </c>
      <c r="E194" s="2">
        <v>34</v>
      </c>
      <c r="F194" s="2">
        <v>9044</v>
      </c>
      <c r="G194" s="2">
        <v>3391</v>
      </c>
      <c r="H194" s="2">
        <v>4</v>
      </c>
      <c r="I194" s="2">
        <v>37</v>
      </c>
      <c r="J194" s="2">
        <v>2</v>
      </c>
      <c r="K194" s="2">
        <v>4</v>
      </c>
      <c r="L194" s="3">
        <f t="shared" ref="L194:L257" si="9">G194/F194</f>
        <v>0.37494471472799645</v>
      </c>
      <c r="M194" s="4">
        <f t="shared" ref="M194:M257" si="10">F194/E194</f>
        <v>266</v>
      </c>
      <c r="N194" s="2">
        <f t="shared" ref="N194:N257" si="11">E194/H194</f>
        <v>8.5</v>
      </c>
    </row>
    <row r="195" spans="1:14" x14ac:dyDescent="0.25">
      <c r="A195" s="5" t="s">
        <v>91</v>
      </c>
      <c r="B195" s="5" t="s">
        <v>87</v>
      </c>
      <c r="C195" s="5" t="s">
        <v>21</v>
      </c>
      <c r="D195" s="5" t="s">
        <v>18</v>
      </c>
      <c r="E195" s="5">
        <v>61</v>
      </c>
      <c r="F195" s="5">
        <v>24949</v>
      </c>
      <c r="G195" s="5">
        <v>9180</v>
      </c>
      <c r="H195" s="5">
        <v>8</v>
      </c>
      <c r="I195" s="5">
        <v>58</v>
      </c>
      <c r="J195" s="5">
        <v>3</v>
      </c>
      <c r="K195" s="5">
        <v>4.2</v>
      </c>
      <c r="L195" s="6">
        <f t="shared" si="9"/>
        <v>0.36795061926329714</v>
      </c>
      <c r="M195" s="7">
        <f t="shared" si="10"/>
        <v>409</v>
      </c>
      <c r="N195" s="5">
        <f t="shared" si="11"/>
        <v>7.625</v>
      </c>
    </row>
    <row r="196" spans="1:14" x14ac:dyDescent="0.25">
      <c r="A196" s="2" t="s">
        <v>91</v>
      </c>
      <c r="B196" s="2" t="s">
        <v>87</v>
      </c>
      <c r="C196" s="2" t="s">
        <v>21</v>
      </c>
      <c r="D196" s="2" t="s">
        <v>19</v>
      </c>
      <c r="E196" s="2">
        <v>50</v>
      </c>
      <c r="F196" s="2">
        <v>11850</v>
      </c>
      <c r="G196" s="2">
        <v>4685</v>
      </c>
      <c r="H196" s="2">
        <v>4</v>
      </c>
      <c r="I196" s="2">
        <v>52</v>
      </c>
      <c r="J196" s="2">
        <v>3</v>
      </c>
      <c r="K196" s="2">
        <v>4.5999999999999996</v>
      </c>
      <c r="L196" s="3">
        <f t="shared" si="9"/>
        <v>0.39535864978902951</v>
      </c>
      <c r="M196" s="4">
        <f t="shared" si="10"/>
        <v>237</v>
      </c>
      <c r="N196" s="2">
        <f t="shared" si="11"/>
        <v>12.5</v>
      </c>
    </row>
    <row r="197" spans="1:14" x14ac:dyDescent="0.25">
      <c r="A197" s="5" t="s">
        <v>92</v>
      </c>
      <c r="B197" s="5" t="s">
        <v>87</v>
      </c>
      <c r="C197" s="5" t="s">
        <v>23</v>
      </c>
      <c r="D197" s="5" t="s">
        <v>17</v>
      </c>
      <c r="E197" s="5">
        <v>33</v>
      </c>
      <c r="F197" s="5">
        <v>8679</v>
      </c>
      <c r="G197" s="5">
        <v>2526</v>
      </c>
      <c r="H197" s="5">
        <v>4</v>
      </c>
      <c r="I197" s="5">
        <v>37</v>
      </c>
      <c r="J197" s="5">
        <v>2</v>
      </c>
      <c r="K197" s="5">
        <v>4.2</v>
      </c>
      <c r="L197" s="6">
        <f t="shared" si="9"/>
        <v>0.29104735568613893</v>
      </c>
      <c r="M197" s="7">
        <f t="shared" si="10"/>
        <v>263</v>
      </c>
      <c r="N197" s="5">
        <f t="shared" si="11"/>
        <v>8.25</v>
      </c>
    </row>
    <row r="198" spans="1:14" x14ac:dyDescent="0.25">
      <c r="A198" s="2" t="s">
        <v>92</v>
      </c>
      <c r="B198" s="2" t="s">
        <v>87</v>
      </c>
      <c r="C198" s="2" t="s">
        <v>23</v>
      </c>
      <c r="D198" s="2" t="s">
        <v>18</v>
      </c>
      <c r="E198" s="2">
        <v>58</v>
      </c>
      <c r="F198" s="2">
        <v>20938</v>
      </c>
      <c r="G198" s="2">
        <v>5897</v>
      </c>
      <c r="H198" s="2">
        <v>6</v>
      </c>
      <c r="I198" s="2">
        <v>48</v>
      </c>
      <c r="J198" s="2">
        <v>1</v>
      </c>
      <c r="K198" s="2">
        <v>4.4000000000000004</v>
      </c>
      <c r="L198" s="3">
        <f t="shared" si="9"/>
        <v>0.28164103543795971</v>
      </c>
      <c r="M198" s="4">
        <f t="shared" si="10"/>
        <v>361</v>
      </c>
      <c r="N198" s="2">
        <f t="shared" si="11"/>
        <v>9.6666666666666661</v>
      </c>
    </row>
    <row r="199" spans="1:14" x14ac:dyDescent="0.25">
      <c r="A199" s="5" t="s">
        <v>92</v>
      </c>
      <c r="B199" s="5" t="s">
        <v>87</v>
      </c>
      <c r="C199" s="5" t="s">
        <v>23</v>
      </c>
      <c r="D199" s="5" t="s">
        <v>19</v>
      </c>
      <c r="E199" s="5">
        <v>46</v>
      </c>
      <c r="F199" s="5">
        <v>13892</v>
      </c>
      <c r="G199" s="5">
        <v>4539</v>
      </c>
      <c r="H199" s="5">
        <v>4</v>
      </c>
      <c r="I199" s="5">
        <v>41</v>
      </c>
      <c r="J199" s="5">
        <v>0</v>
      </c>
      <c r="K199" s="5">
        <v>3.7</v>
      </c>
      <c r="L199" s="6">
        <f t="shared" si="9"/>
        <v>0.32673481140224592</v>
      </c>
      <c r="M199" s="7">
        <f t="shared" si="10"/>
        <v>302</v>
      </c>
      <c r="N199" s="5">
        <f t="shared" si="11"/>
        <v>11.5</v>
      </c>
    </row>
    <row r="200" spans="1:14" x14ac:dyDescent="0.25">
      <c r="A200" s="2" t="s">
        <v>93</v>
      </c>
      <c r="B200" s="2" t="s">
        <v>87</v>
      </c>
      <c r="C200" s="2" t="s">
        <v>25</v>
      </c>
      <c r="D200" s="2" t="s">
        <v>17</v>
      </c>
      <c r="E200" s="2">
        <v>35</v>
      </c>
      <c r="F200" s="2">
        <v>8155</v>
      </c>
      <c r="G200" s="2">
        <v>2615</v>
      </c>
      <c r="H200" s="2">
        <v>4</v>
      </c>
      <c r="I200" s="2">
        <v>36</v>
      </c>
      <c r="J200" s="2">
        <v>2</v>
      </c>
      <c r="K200" s="2">
        <v>4</v>
      </c>
      <c r="L200" s="3">
        <f t="shared" si="9"/>
        <v>0.32066217044757817</v>
      </c>
      <c r="M200" s="4">
        <f t="shared" si="10"/>
        <v>233</v>
      </c>
      <c r="N200" s="2">
        <f t="shared" si="11"/>
        <v>8.75</v>
      </c>
    </row>
    <row r="201" spans="1:14" x14ac:dyDescent="0.25">
      <c r="A201" s="5" t="s">
        <v>93</v>
      </c>
      <c r="B201" s="5" t="s">
        <v>87</v>
      </c>
      <c r="C201" s="5" t="s">
        <v>25</v>
      </c>
      <c r="D201" s="5" t="s">
        <v>18</v>
      </c>
      <c r="E201" s="5">
        <v>107</v>
      </c>
      <c r="F201" s="5">
        <v>37129</v>
      </c>
      <c r="G201" s="5">
        <v>14544</v>
      </c>
      <c r="H201" s="5">
        <v>9</v>
      </c>
      <c r="I201" s="5">
        <v>50</v>
      </c>
      <c r="J201" s="5">
        <v>2</v>
      </c>
      <c r="K201" s="5">
        <v>3.9</v>
      </c>
      <c r="L201" s="6">
        <f t="shared" si="9"/>
        <v>0.39171537073446633</v>
      </c>
      <c r="M201" s="7">
        <f t="shared" si="10"/>
        <v>347</v>
      </c>
      <c r="N201" s="5">
        <f t="shared" si="11"/>
        <v>11.888888888888889</v>
      </c>
    </row>
    <row r="202" spans="1:14" x14ac:dyDescent="0.25">
      <c r="A202" s="2" t="s">
        <v>93</v>
      </c>
      <c r="B202" s="2" t="s">
        <v>87</v>
      </c>
      <c r="C202" s="2" t="s">
        <v>25</v>
      </c>
      <c r="D202" s="2" t="s">
        <v>19</v>
      </c>
      <c r="E202" s="2">
        <v>38</v>
      </c>
      <c r="F202" s="2">
        <v>9196</v>
      </c>
      <c r="G202" s="2">
        <v>3832</v>
      </c>
      <c r="H202" s="2">
        <v>7</v>
      </c>
      <c r="I202" s="2">
        <v>47</v>
      </c>
      <c r="J202" s="2">
        <v>2</v>
      </c>
      <c r="K202" s="2">
        <v>3.7</v>
      </c>
      <c r="L202" s="3">
        <f t="shared" si="9"/>
        <v>0.41670291431056983</v>
      </c>
      <c r="M202" s="4">
        <f t="shared" si="10"/>
        <v>242</v>
      </c>
      <c r="N202" s="2">
        <f t="shared" si="11"/>
        <v>5.4285714285714288</v>
      </c>
    </row>
    <row r="203" spans="1:14" x14ac:dyDescent="0.25">
      <c r="A203" s="5" t="s">
        <v>94</v>
      </c>
      <c r="B203" s="5" t="s">
        <v>87</v>
      </c>
      <c r="C203" s="5" t="s">
        <v>27</v>
      </c>
      <c r="D203" s="5" t="s">
        <v>17</v>
      </c>
      <c r="E203" s="5">
        <v>57</v>
      </c>
      <c r="F203" s="5">
        <v>10602</v>
      </c>
      <c r="G203" s="5">
        <v>3906</v>
      </c>
      <c r="H203" s="5">
        <v>3</v>
      </c>
      <c r="I203" s="5">
        <v>41</v>
      </c>
      <c r="J203" s="5">
        <v>0</v>
      </c>
      <c r="K203" s="5">
        <v>3.8</v>
      </c>
      <c r="L203" s="6">
        <f t="shared" si="9"/>
        <v>0.36842105263157893</v>
      </c>
      <c r="M203" s="7">
        <f t="shared" si="10"/>
        <v>186</v>
      </c>
      <c r="N203" s="5">
        <f t="shared" si="11"/>
        <v>19</v>
      </c>
    </row>
    <row r="204" spans="1:14" x14ac:dyDescent="0.25">
      <c r="A204" s="2" t="s">
        <v>94</v>
      </c>
      <c r="B204" s="2" t="s">
        <v>87</v>
      </c>
      <c r="C204" s="2" t="s">
        <v>27</v>
      </c>
      <c r="D204" s="2" t="s">
        <v>18</v>
      </c>
      <c r="E204" s="2">
        <v>93</v>
      </c>
      <c r="F204" s="2">
        <v>37014</v>
      </c>
      <c r="G204" s="2">
        <v>15270</v>
      </c>
      <c r="H204" s="2">
        <v>8</v>
      </c>
      <c r="I204" s="2">
        <v>63</v>
      </c>
      <c r="J204" s="2">
        <v>4</v>
      </c>
      <c r="K204" s="2">
        <v>3.6</v>
      </c>
      <c r="L204" s="3">
        <f t="shared" si="9"/>
        <v>0.41254660398768034</v>
      </c>
      <c r="M204" s="4">
        <f t="shared" si="10"/>
        <v>398</v>
      </c>
      <c r="N204" s="2">
        <f t="shared" si="11"/>
        <v>11.625</v>
      </c>
    </row>
    <row r="205" spans="1:14" x14ac:dyDescent="0.25">
      <c r="A205" s="5" t="s">
        <v>94</v>
      </c>
      <c r="B205" s="5" t="s">
        <v>87</v>
      </c>
      <c r="C205" s="5" t="s">
        <v>27</v>
      </c>
      <c r="D205" s="5" t="s">
        <v>19</v>
      </c>
      <c r="E205" s="5">
        <v>43</v>
      </c>
      <c r="F205" s="5">
        <v>12040</v>
      </c>
      <c r="G205" s="5">
        <v>4328</v>
      </c>
      <c r="H205" s="5">
        <v>6</v>
      </c>
      <c r="I205" s="5">
        <v>44</v>
      </c>
      <c r="J205" s="5">
        <v>1</v>
      </c>
      <c r="K205" s="5">
        <v>3.7</v>
      </c>
      <c r="L205" s="6">
        <f t="shared" si="9"/>
        <v>0.35946843853820598</v>
      </c>
      <c r="M205" s="7">
        <f t="shared" si="10"/>
        <v>280</v>
      </c>
      <c r="N205" s="5">
        <f t="shared" si="11"/>
        <v>7.166666666666667</v>
      </c>
    </row>
    <row r="206" spans="1:14" x14ac:dyDescent="0.25">
      <c r="A206" s="2" t="s">
        <v>95</v>
      </c>
      <c r="B206" s="2" t="s">
        <v>87</v>
      </c>
      <c r="C206" s="2" t="s">
        <v>29</v>
      </c>
      <c r="D206" s="2" t="s">
        <v>17</v>
      </c>
      <c r="E206" s="2">
        <v>33</v>
      </c>
      <c r="F206" s="2">
        <v>9009</v>
      </c>
      <c r="G206" s="2">
        <v>2852</v>
      </c>
      <c r="H206" s="2">
        <v>5</v>
      </c>
      <c r="I206" s="2">
        <v>55</v>
      </c>
      <c r="J206" s="2">
        <v>0</v>
      </c>
      <c r="K206" s="2">
        <v>4.3</v>
      </c>
      <c r="L206" s="3">
        <f t="shared" si="9"/>
        <v>0.31657231657231655</v>
      </c>
      <c r="M206" s="4">
        <f t="shared" si="10"/>
        <v>273</v>
      </c>
      <c r="N206" s="2">
        <f t="shared" si="11"/>
        <v>6.6</v>
      </c>
    </row>
    <row r="207" spans="1:14" x14ac:dyDescent="0.25">
      <c r="A207" s="5" t="s">
        <v>95</v>
      </c>
      <c r="B207" s="5" t="s">
        <v>87</v>
      </c>
      <c r="C207" s="5" t="s">
        <v>29</v>
      </c>
      <c r="D207" s="5" t="s">
        <v>18</v>
      </c>
      <c r="E207" s="5">
        <v>117</v>
      </c>
      <c r="F207" s="5">
        <v>46566</v>
      </c>
      <c r="G207" s="5">
        <v>14961</v>
      </c>
      <c r="H207" s="5">
        <v>8</v>
      </c>
      <c r="I207" s="5">
        <v>72</v>
      </c>
      <c r="J207" s="5">
        <v>1</v>
      </c>
      <c r="K207" s="5">
        <v>4.2</v>
      </c>
      <c r="L207" s="6">
        <f t="shared" si="9"/>
        <v>0.3212859167633037</v>
      </c>
      <c r="M207" s="7">
        <f t="shared" si="10"/>
        <v>398</v>
      </c>
      <c r="N207" s="5">
        <f t="shared" si="11"/>
        <v>14.625</v>
      </c>
    </row>
    <row r="208" spans="1:14" x14ac:dyDescent="0.25">
      <c r="A208" s="2" t="s">
        <v>95</v>
      </c>
      <c r="B208" s="2" t="s">
        <v>87</v>
      </c>
      <c r="C208" s="2" t="s">
        <v>29</v>
      </c>
      <c r="D208" s="2" t="s">
        <v>19</v>
      </c>
      <c r="E208" s="2">
        <v>107</v>
      </c>
      <c r="F208" s="2">
        <v>35738</v>
      </c>
      <c r="G208" s="2">
        <v>10865</v>
      </c>
      <c r="H208" s="2">
        <v>6</v>
      </c>
      <c r="I208" s="2">
        <v>43</v>
      </c>
      <c r="J208" s="2">
        <v>2</v>
      </c>
      <c r="K208" s="2">
        <v>3.8</v>
      </c>
      <c r="L208" s="3">
        <f t="shared" si="9"/>
        <v>0.3040181319603783</v>
      </c>
      <c r="M208" s="4">
        <f t="shared" si="10"/>
        <v>334</v>
      </c>
      <c r="N208" s="2">
        <f t="shared" si="11"/>
        <v>17.833333333333332</v>
      </c>
    </row>
    <row r="209" spans="1:14" x14ac:dyDescent="0.25">
      <c r="A209" s="5" t="s">
        <v>96</v>
      </c>
      <c r="B209" s="5" t="s">
        <v>87</v>
      </c>
      <c r="C209" s="5" t="s">
        <v>31</v>
      </c>
      <c r="D209" s="5" t="s">
        <v>17</v>
      </c>
      <c r="E209" s="5">
        <v>49</v>
      </c>
      <c r="F209" s="5">
        <v>13377</v>
      </c>
      <c r="G209" s="5">
        <v>4866</v>
      </c>
      <c r="H209" s="5">
        <v>4</v>
      </c>
      <c r="I209" s="5">
        <v>44</v>
      </c>
      <c r="J209" s="5">
        <v>2</v>
      </c>
      <c r="K209" s="5">
        <v>4.0999999999999996</v>
      </c>
      <c r="L209" s="6">
        <f t="shared" si="9"/>
        <v>0.36375869028930252</v>
      </c>
      <c r="M209" s="7">
        <f t="shared" si="10"/>
        <v>273</v>
      </c>
      <c r="N209" s="5">
        <f t="shared" si="11"/>
        <v>12.25</v>
      </c>
    </row>
    <row r="210" spans="1:14" x14ac:dyDescent="0.25">
      <c r="A210" s="2" t="s">
        <v>96</v>
      </c>
      <c r="B210" s="2" t="s">
        <v>87</v>
      </c>
      <c r="C210" s="2" t="s">
        <v>31</v>
      </c>
      <c r="D210" s="2" t="s">
        <v>18</v>
      </c>
      <c r="E210" s="2">
        <v>171</v>
      </c>
      <c r="F210" s="2">
        <v>64809</v>
      </c>
      <c r="G210" s="2">
        <v>26854</v>
      </c>
      <c r="H210" s="2">
        <v>8</v>
      </c>
      <c r="I210" s="2">
        <v>54</v>
      </c>
      <c r="J210" s="2">
        <v>1</v>
      </c>
      <c r="K210" s="2">
        <v>3.6</v>
      </c>
      <c r="L210" s="3">
        <f t="shared" si="9"/>
        <v>0.41435603079819161</v>
      </c>
      <c r="M210" s="4">
        <f t="shared" si="10"/>
        <v>379</v>
      </c>
      <c r="N210" s="2">
        <f t="shared" si="11"/>
        <v>21.375</v>
      </c>
    </row>
    <row r="211" spans="1:14" x14ac:dyDescent="0.25">
      <c r="A211" s="5" t="s">
        <v>96</v>
      </c>
      <c r="B211" s="5" t="s">
        <v>87</v>
      </c>
      <c r="C211" s="5" t="s">
        <v>31</v>
      </c>
      <c r="D211" s="5" t="s">
        <v>19</v>
      </c>
      <c r="E211" s="5">
        <v>65</v>
      </c>
      <c r="F211" s="5">
        <v>17095</v>
      </c>
      <c r="G211" s="5">
        <v>4874</v>
      </c>
      <c r="H211" s="5">
        <v>4</v>
      </c>
      <c r="I211" s="5">
        <v>61</v>
      </c>
      <c r="J211" s="5">
        <v>2</v>
      </c>
      <c r="K211" s="5">
        <v>3.7</v>
      </c>
      <c r="L211" s="6">
        <f t="shared" si="9"/>
        <v>0.28511260602515354</v>
      </c>
      <c r="M211" s="7">
        <f t="shared" si="10"/>
        <v>263</v>
      </c>
      <c r="N211" s="5">
        <f t="shared" si="11"/>
        <v>16.25</v>
      </c>
    </row>
    <row r="212" spans="1:14" x14ac:dyDescent="0.25">
      <c r="A212" s="2" t="s">
        <v>97</v>
      </c>
      <c r="B212" s="2" t="s">
        <v>87</v>
      </c>
      <c r="C212" s="2" t="s">
        <v>16</v>
      </c>
      <c r="D212" s="2" t="s">
        <v>17</v>
      </c>
      <c r="E212" s="2">
        <v>28</v>
      </c>
      <c r="F212" s="2">
        <v>5236</v>
      </c>
      <c r="G212" s="2">
        <v>2124</v>
      </c>
      <c r="H212" s="2">
        <v>5</v>
      </c>
      <c r="I212" s="2">
        <v>51</v>
      </c>
      <c r="J212" s="2">
        <v>1</v>
      </c>
      <c r="K212" s="2">
        <v>4.0999999999999996</v>
      </c>
      <c r="L212" s="3">
        <f t="shared" si="9"/>
        <v>0.40565317035905274</v>
      </c>
      <c r="M212" s="4">
        <f t="shared" si="10"/>
        <v>187</v>
      </c>
      <c r="N212" s="2">
        <f t="shared" si="11"/>
        <v>5.6</v>
      </c>
    </row>
    <row r="213" spans="1:14" x14ac:dyDescent="0.25">
      <c r="A213" s="5" t="s">
        <v>97</v>
      </c>
      <c r="B213" s="5" t="s">
        <v>87</v>
      </c>
      <c r="C213" s="5" t="s">
        <v>16</v>
      </c>
      <c r="D213" s="5" t="s">
        <v>18</v>
      </c>
      <c r="E213" s="5">
        <v>86</v>
      </c>
      <c r="F213" s="5">
        <v>30530</v>
      </c>
      <c r="G213" s="5">
        <v>11209</v>
      </c>
      <c r="H213" s="5">
        <v>6</v>
      </c>
      <c r="I213" s="5">
        <v>59</v>
      </c>
      <c r="J213" s="5">
        <v>0</v>
      </c>
      <c r="K213" s="5">
        <v>4.2</v>
      </c>
      <c r="L213" s="6">
        <f t="shared" si="9"/>
        <v>0.36714706845725514</v>
      </c>
      <c r="M213" s="7">
        <f t="shared" si="10"/>
        <v>355</v>
      </c>
      <c r="N213" s="5">
        <f t="shared" si="11"/>
        <v>14.333333333333334</v>
      </c>
    </row>
    <row r="214" spans="1:14" x14ac:dyDescent="0.25">
      <c r="A214" s="2" t="s">
        <v>97</v>
      </c>
      <c r="B214" s="2" t="s">
        <v>87</v>
      </c>
      <c r="C214" s="2" t="s">
        <v>16</v>
      </c>
      <c r="D214" s="2" t="s">
        <v>19</v>
      </c>
      <c r="E214" s="2">
        <v>47</v>
      </c>
      <c r="F214" s="2">
        <v>10622</v>
      </c>
      <c r="G214" s="2">
        <v>4216</v>
      </c>
      <c r="H214" s="2">
        <v>4</v>
      </c>
      <c r="I214" s="2">
        <v>43</v>
      </c>
      <c r="J214" s="2">
        <v>3</v>
      </c>
      <c r="K214" s="2">
        <v>4.3</v>
      </c>
      <c r="L214" s="3">
        <f t="shared" si="9"/>
        <v>0.39691206929015249</v>
      </c>
      <c r="M214" s="4">
        <f t="shared" si="10"/>
        <v>226</v>
      </c>
      <c r="N214" s="2">
        <f t="shared" si="11"/>
        <v>11.75</v>
      </c>
    </row>
    <row r="215" spans="1:14" x14ac:dyDescent="0.25">
      <c r="A215" s="5" t="s">
        <v>98</v>
      </c>
      <c r="B215" s="5" t="s">
        <v>87</v>
      </c>
      <c r="C215" s="5" t="s">
        <v>21</v>
      </c>
      <c r="D215" s="5" t="s">
        <v>17</v>
      </c>
      <c r="E215" s="5">
        <v>15</v>
      </c>
      <c r="F215" s="5">
        <v>3810</v>
      </c>
      <c r="G215" s="5">
        <v>1123</v>
      </c>
      <c r="H215" s="5">
        <v>3</v>
      </c>
      <c r="I215" s="5">
        <v>55</v>
      </c>
      <c r="J215" s="5">
        <v>0</v>
      </c>
      <c r="K215" s="5">
        <v>3.9</v>
      </c>
      <c r="L215" s="6">
        <f t="shared" si="9"/>
        <v>0.29475065616797902</v>
      </c>
      <c r="M215" s="7">
        <f t="shared" si="10"/>
        <v>254</v>
      </c>
      <c r="N215" s="5">
        <f t="shared" si="11"/>
        <v>5</v>
      </c>
    </row>
    <row r="216" spans="1:14" x14ac:dyDescent="0.25">
      <c r="A216" s="2" t="s">
        <v>98</v>
      </c>
      <c r="B216" s="2" t="s">
        <v>87</v>
      </c>
      <c r="C216" s="2" t="s">
        <v>21</v>
      </c>
      <c r="D216" s="2" t="s">
        <v>18</v>
      </c>
      <c r="E216" s="2">
        <v>48</v>
      </c>
      <c r="F216" s="2">
        <v>19584</v>
      </c>
      <c r="G216" s="2">
        <v>5915</v>
      </c>
      <c r="H216" s="2">
        <v>9</v>
      </c>
      <c r="I216" s="2">
        <v>63</v>
      </c>
      <c r="J216" s="2">
        <v>1</v>
      </c>
      <c r="K216" s="2">
        <v>4.0999999999999996</v>
      </c>
      <c r="L216" s="3">
        <f t="shared" si="9"/>
        <v>0.30203227124183007</v>
      </c>
      <c r="M216" s="4">
        <f t="shared" si="10"/>
        <v>408</v>
      </c>
      <c r="N216" s="2">
        <f t="shared" si="11"/>
        <v>5.333333333333333</v>
      </c>
    </row>
    <row r="217" spans="1:14" x14ac:dyDescent="0.25">
      <c r="A217" s="5" t="s">
        <v>98</v>
      </c>
      <c r="B217" s="5" t="s">
        <v>87</v>
      </c>
      <c r="C217" s="5" t="s">
        <v>21</v>
      </c>
      <c r="D217" s="5" t="s">
        <v>19</v>
      </c>
      <c r="E217" s="5">
        <v>31</v>
      </c>
      <c r="F217" s="5">
        <v>8339</v>
      </c>
      <c r="G217" s="5">
        <v>2819</v>
      </c>
      <c r="H217" s="5">
        <v>5</v>
      </c>
      <c r="I217" s="5">
        <v>45</v>
      </c>
      <c r="J217" s="5">
        <v>2</v>
      </c>
      <c r="K217" s="5">
        <v>4.5999999999999996</v>
      </c>
      <c r="L217" s="6">
        <f t="shared" si="9"/>
        <v>0.33805012591437822</v>
      </c>
      <c r="M217" s="7">
        <f t="shared" si="10"/>
        <v>269</v>
      </c>
      <c r="N217" s="5">
        <f t="shared" si="11"/>
        <v>6.2</v>
      </c>
    </row>
    <row r="218" spans="1:14" x14ac:dyDescent="0.25">
      <c r="A218" s="2" t="s">
        <v>99</v>
      </c>
      <c r="B218" s="2" t="s">
        <v>87</v>
      </c>
      <c r="C218" s="2" t="s">
        <v>23</v>
      </c>
      <c r="D218" s="2" t="s">
        <v>17</v>
      </c>
      <c r="E218" s="2">
        <v>20</v>
      </c>
      <c r="F218" s="2">
        <v>4840</v>
      </c>
      <c r="G218" s="2">
        <v>1375</v>
      </c>
      <c r="H218" s="2">
        <v>5</v>
      </c>
      <c r="I218" s="2">
        <v>54</v>
      </c>
      <c r="J218" s="2">
        <v>2</v>
      </c>
      <c r="K218" s="2">
        <v>4</v>
      </c>
      <c r="L218" s="3">
        <f t="shared" si="9"/>
        <v>0.28409090909090912</v>
      </c>
      <c r="M218" s="4">
        <f t="shared" si="10"/>
        <v>242</v>
      </c>
      <c r="N218" s="2">
        <f t="shared" si="11"/>
        <v>4</v>
      </c>
    </row>
    <row r="219" spans="1:14" x14ac:dyDescent="0.25">
      <c r="A219" s="5" t="s">
        <v>99</v>
      </c>
      <c r="B219" s="5" t="s">
        <v>87</v>
      </c>
      <c r="C219" s="5" t="s">
        <v>23</v>
      </c>
      <c r="D219" s="5" t="s">
        <v>18</v>
      </c>
      <c r="E219" s="5">
        <v>62</v>
      </c>
      <c r="F219" s="5">
        <v>24366</v>
      </c>
      <c r="G219" s="5">
        <v>7831</v>
      </c>
      <c r="H219" s="5">
        <v>9</v>
      </c>
      <c r="I219" s="5">
        <v>65</v>
      </c>
      <c r="J219" s="5">
        <v>0</v>
      </c>
      <c r="K219" s="5">
        <v>4.4000000000000004</v>
      </c>
      <c r="L219" s="6">
        <f t="shared" si="9"/>
        <v>0.32139046211934663</v>
      </c>
      <c r="M219" s="7">
        <f t="shared" si="10"/>
        <v>393</v>
      </c>
      <c r="N219" s="5">
        <f t="shared" si="11"/>
        <v>6.8888888888888893</v>
      </c>
    </row>
    <row r="220" spans="1:14" x14ac:dyDescent="0.25">
      <c r="A220" s="2" t="s">
        <v>99</v>
      </c>
      <c r="B220" s="2" t="s">
        <v>87</v>
      </c>
      <c r="C220" s="2" t="s">
        <v>23</v>
      </c>
      <c r="D220" s="2" t="s">
        <v>19</v>
      </c>
      <c r="E220" s="2">
        <v>25</v>
      </c>
      <c r="F220" s="2">
        <v>8250</v>
      </c>
      <c r="G220" s="2">
        <v>3250</v>
      </c>
      <c r="H220" s="2">
        <v>5</v>
      </c>
      <c r="I220" s="2">
        <v>57</v>
      </c>
      <c r="J220" s="2">
        <v>0</v>
      </c>
      <c r="K220" s="2">
        <v>4.0999999999999996</v>
      </c>
      <c r="L220" s="3">
        <f t="shared" si="9"/>
        <v>0.39393939393939392</v>
      </c>
      <c r="M220" s="4">
        <f t="shared" si="10"/>
        <v>330</v>
      </c>
      <c r="N220" s="2">
        <f t="shared" si="11"/>
        <v>5</v>
      </c>
    </row>
    <row r="221" spans="1:14" x14ac:dyDescent="0.25">
      <c r="A221" s="5" t="s">
        <v>100</v>
      </c>
      <c r="B221" s="5" t="s">
        <v>87</v>
      </c>
      <c r="C221" s="5" t="s">
        <v>25</v>
      </c>
      <c r="D221" s="5" t="s">
        <v>17</v>
      </c>
      <c r="E221" s="5">
        <v>33</v>
      </c>
      <c r="F221" s="5">
        <v>6798</v>
      </c>
      <c r="G221" s="5">
        <v>2009</v>
      </c>
      <c r="H221" s="5">
        <v>4</v>
      </c>
      <c r="I221" s="5">
        <v>53</v>
      </c>
      <c r="J221" s="5">
        <v>0</v>
      </c>
      <c r="K221" s="5">
        <v>4.2</v>
      </c>
      <c r="L221" s="6">
        <f t="shared" si="9"/>
        <v>0.29552809649897027</v>
      </c>
      <c r="M221" s="7">
        <f t="shared" si="10"/>
        <v>206</v>
      </c>
      <c r="N221" s="5">
        <f t="shared" si="11"/>
        <v>8.25</v>
      </c>
    </row>
    <row r="222" spans="1:14" x14ac:dyDescent="0.25">
      <c r="A222" s="2" t="s">
        <v>100</v>
      </c>
      <c r="B222" s="2" t="s">
        <v>87</v>
      </c>
      <c r="C222" s="2" t="s">
        <v>25</v>
      </c>
      <c r="D222" s="2" t="s">
        <v>18</v>
      </c>
      <c r="E222" s="2">
        <v>90</v>
      </c>
      <c r="F222" s="2">
        <v>40950</v>
      </c>
      <c r="G222" s="2">
        <v>14834</v>
      </c>
      <c r="H222" s="2">
        <v>6</v>
      </c>
      <c r="I222" s="2">
        <v>53</v>
      </c>
      <c r="J222" s="2">
        <v>3</v>
      </c>
      <c r="K222" s="2">
        <v>4.5999999999999996</v>
      </c>
      <c r="L222" s="3">
        <f t="shared" si="9"/>
        <v>0.36224664224664227</v>
      </c>
      <c r="M222" s="4">
        <f t="shared" si="10"/>
        <v>455</v>
      </c>
      <c r="N222" s="2">
        <f t="shared" si="11"/>
        <v>15</v>
      </c>
    </row>
    <row r="223" spans="1:14" x14ac:dyDescent="0.25">
      <c r="A223" s="5" t="s">
        <v>100</v>
      </c>
      <c r="B223" s="5" t="s">
        <v>87</v>
      </c>
      <c r="C223" s="5" t="s">
        <v>25</v>
      </c>
      <c r="D223" s="5" t="s">
        <v>19</v>
      </c>
      <c r="E223" s="5">
        <v>39</v>
      </c>
      <c r="F223" s="5">
        <v>12558</v>
      </c>
      <c r="G223" s="5">
        <v>4225</v>
      </c>
      <c r="H223" s="5">
        <v>4</v>
      </c>
      <c r="I223" s="5">
        <v>61</v>
      </c>
      <c r="J223" s="5">
        <v>1</v>
      </c>
      <c r="K223" s="5">
        <v>4.2</v>
      </c>
      <c r="L223" s="6">
        <f t="shared" si="9"/>
        <v>0.33643892339544512</v>
      </c>
      <c r="M223" s="7">
        <f t="shared" si="10"/>
        <v>322</v>
      </c>
      <c r="N223" s="5">
        <f t="shared" si="11"/>
        <v>9.75</v>
      </c>
    </row>
    <row r="224" spans="1:14" x14ac:dyDescent="0.25">
      <c r="A224" s="2" t="s">
        <v>101</v>
      </c>
      <c r="B224" s="2" t="s">
        <v>87</v>
      </c>
      <c r="C224" s="2" t="s">
        <v>27</v>
      </c>
      <c r="D224" s="2" t="s">
        <v>17</v>
      </c>
      <c r="E224" s="2">
        <v>68</v>
      </c>
      <c r="F224" s="2">
        <v>13464</v>
      </c>
      <c r="G224" s="2">
        <v>4830</v>
      </c>
      <c r="H224" s="2">
        <v>3</v>
      </c>
      <c r="I224" s="2">
        <v>53</v>
      </c>
      <c r="J224" s="2">
        <v>2</v>
      </c>
      <c r="K224" s="2">
        <v>4.2</v>
      </c>
      <c r="L224" s="3">
        <f t="shared" si="9"/>
        <v>0.35873440285204994</v>
      </c>
      <c r="M224" s="4">
        <f t="shared" si="10"/>
        <v>198</v>
      </c>
      <c r="N224" s="2">
        <f t="shared" si="11"/>
        <v>22.666666666666668</v>
      </c>
    </row>
    <row r="225" spans="1:14" x14ac:dyDescent="0.25">
      <c r="A225" s="5" t="s">
        <v>101</v>
      </c>
      <c r="B225" s="5" t="s">
        <v>87</v>
      </c>
      <c r="C225" s="5" t="s">
        <v>27</v>
      </c>
      <c r="D225" s="5" t="s">
        <v>18</v>
      </c>
      <c r="E225" s="5">
        <v>124</v>
      </c>
      <c r="F225" s="5">
        <v>47120</v>
      </c>
      <c r="G225" s="5">
        <v>16791</v>
      </c>
      <c r="H225" s="5">
        <v>10</v>
      </c>
      <c r="I225" s="5">
        <v>60</v>
      </c>
      <c r="J225" s="5">
        <v>0</v>
      </c>
      <c r="K225" s="5">
        <v>3.9</v>
      </c>
      <c r="L225" s="6">
        <f t="shared" si="9"/>
        <v>0.35634550084889643</v>
      </c>
      <c r="M225" s="7">
        <f t="shared" si="10"/>
        <v>380</v>
      </c>
      <c r="N225" s="5">
        <f t="shared" si="11"/>
        <v>12.4</v>
      </c>
    </row>
    <row r="226" spans="1:14" x14ac:dyDescent="0.25">
      <c r="A226" s="2" t="s">
        <v>101</v>
      </c>
      <c r="B226" s="2" t="s">
        <v>87</v>
      </c>
      <c r="C226" s="2" t="s">
        <v>27</v>
      </c>
      <c r="D226" s="2" t="s">
        <v>19</v>
      </c>
      <c r="E226" s="2">
        <v>50</v>
      </c>
      <c r="F226" s="2">
        <v>10650</v>
      </c>
      <c r="G226" s="2">
        <v>3381</v>
      </c>
      <c r="H226" s="2">
        <v>5</v>
      </c>
      <c r="I226" s="2">
        <v>53</v>
      </c>
      <c r="J226" s="2">
        <v>0</v>
      </c>
      <c r="K226" s="2">
        <v>3.8</v>
      </c>
      <c r="L226" s="3">
        <f t="shared" si="9"/>
        <v>0.31746478873239437</v>
      </c>
      <c r="M226" s="4">
        <f t="shared" si="10"/>
        <v>213</v>
      </c>
      <c r="N226" s="2">
        <f t="shared" si="11"/>
        <v>10</v>
      </c>
    </row>
    <row r="227" spans="1:14" x14ac:dyDescent="0.25">
      <c r="A227" s="5" t="s">
        <v>102</v>
      </c>
      <c r="B227" s="5" t="s">
        <v>87</v>
      </c>
      <c r="C227" s="5" t="s">
        <v>29</v>
      </c>
      <c r="D227" s="5" t="s">
        <v>17</v>
      </c>
      <c r="E227" s="5">
        <v>82</v>
      </c>
      <c r="F227" s="5">
        <v>19844</v>
      </c>
      <c r="G227" s="5">
        <v>8110</v>
      </c>
      <c r="H227" s="5">
        <v>5</v>
      </c>
      <c r="I227" s="5">
        <v>50</v>
      </c>
      <c r="J227" s="5">
        <v>0</v>
      </c>
      <c r="K227" s="5">
        <v>3.9</v>
      </c>
      <c r="L227" s="6">
        <f t="shared" si="9"/>
        <v>0.40868776456359607</v>
      </c>
      <c r="M227" s="7">
        <f t="shared" si="10"/>
        <v>242</v>
      </c>
      <c r="N227" s="5">
        <f t="shared" si="11"/>
        <v>16.399999999999999</v>
      </c>
    </row>
    <row r="228" spans="1:14" x14ac:dyDescent="0.25">
      <c r="A228" s="2" t="s">
        <v>102</v>
      </c>
      <c r="B228" s="2" t="s">
        <v>87</v>
      </c>
      <c r="C228" s="2" t="s">
        <v>29</v>
      </c>
      <c r="D228" s="2" t="s">
        <v>18</v>
      </c>
      <c r="E228" s="2">
        <v>147</v>
      </c>
      <c r="F228" s="2">
        <v>49392</v>
      </c>
      <c r="G228" s="2">
        <v>18518</v>
      </c>
      <c r="H228" s="2">
        <v>6</v>
      </c>
      <c r="I228" s="2">
        <v>62</v>
      </c>
      <c r="J228" s="2">
        <v>3</v>
      </c>
      <c r="K228" s="2">
        <v>4.5</v>
      </c>
      <c r="L228" s="3">
        <f t="shared" si="9"/>
        <v>0.37491901522513765</v>
      </c>
      <c r="M228" s="4">
        <f t="shared" si="10"/>
        <v>336</v>
      </c>
      <c r="N228" s="2">
        <f t="shared" si="11"/>
        <v>24.5</v>
      </c>
    </row>
    <row r="229" spans="1:14" x14ac:dyDescent="0.25">
      <c r="A229" s="5" t="s">
        <v>102</v>
      </c>
      <c r="B229" s="5" t="s">
        <v>87</v>
      </c>
      <c r="C229" s="5" t="s">
        <v>29</v>
      </c>
      <c r="D229" s="5" t="s">
        <v>19</v>
      </c>
      <c r="E229" s="5">
        <v>81</v>
      </c>
      <c r="F229" s="5">
        <v>21789</v>
      </c>
      <c r="G229" s="5">
        <v>8936</v>
      </c>
      <c r="H229" s="5">
        <v>5</v>
      </c>
      <c r="I229" s="5">
        <v>47</v>
      </c>
      <c r="J229" s="5">
        <v>3</v>
      </c>
      <c r="K229" s="5">
        <v>4.3</v>
      </c>
      <c r="L229" s="6">
        <f t="shared" si="9"/>
        <v>0.41011519574097022</v>
      </c>
      <c r="M229" s="7">
        <f t="shared" si="10"/>
        <v>269</v>
      </c>
      <c r="N229" s="5">
        <f t="shared" si="11"/>
        <v>16.2</v>
      </c>
    </row>
    <row r="230" spans="1:14" x14ac:dyDescent="0.25">
      <c r="A230" s="2" t="s">
        <v>103</v>
      </c>
      <c r="B230" s="2" t="s">
        <v>87</v>
      </c>
      <c r="C230" s="2" t="s">
        <v>31</v>
      </c>
      <c r="D230" s="2" t="s">
        <v>17</v>
      </c>
      <c r="E230" s="2">
        <v>45</v>
      </c>
      <c r="F230" s="2">
        <v>8370</v>
      </c>
      <c r="G230" s="2">
        <v>2528</v>
      </c>
      <c r="H230" s="2">
        <v>3</v>
      </c>
      <c r="I230" s="2">
        <v>53</v>
      </c>
      <c r="J230" s="2">
        <v>2</v>
      </c>
      <c r="K230" s="2">
        <v>4.4000000000000004</v>
      </c>
      <c r="L230" s="3">
        <f t="shared" si="9"/>
        <v>0.30203106332138591</v>
      </c>
      <c r="M230" s="4">
        <f t="shared" si="10"/>
        <v>186</v>
      </c>
      <c r="N230" s="2">
        <f t="shared" si="11"/>
        <v>15</v>
      </c>
    </row>
    <row r="231" spans="1:14" x14ac:dyDescent="0.25">
      <c r="A231" s="5" t="s">
        <v>103</v>
      </c>
      <c r="B231" s="5" t="s">
        <v>87</v>
      </c>
      <c r="C231" s="5" t="s">
        <v>31</v>
      </c>
      <c r="D231" s="5" t="s">
        <v>18</v>
      </c>
      <c r="E231" s="5">
        <v>113</v>
      </c>
      <c r="F231" s="5">
        <v>39098</v>
      </c>
      <c r="G231" s="5">
        <v>11723</v>
      </c>
      <c r="H231" s="5">
        <v>8</v>
      </c>
      <c r="I231" s="5">
        <v>52</v>
      </c>
      <c r="J231" s="5">
        <v>0</v>
      </c>
      <c r="K231" s="5">
        <v>4</v>
      </c>
      <c r="L231" s="6">
        <f t="shared" si="9"/>
        <v>0.29983630876259654</v>
      </c>
      <c r="M231" s="7">
        <f t="shared" si="10"/>
        <v>346</v>
      </c>
      <c r="N231" s="5">
        <f t="shared" si="11"/>
        <v>14.125</v>
      </c>
    </row>
    <row r="232" spans="1:14" x14ac:dyDescent="0.25">
      <c r="A232" s="2" t="s">
        <v>103</v>
      </c>
      <c r="B232" s="2" t="s">
        <v>87</v>
      </c>
      <c r="C232" s="2" t="s">
        <v>31</v>
      </c>
      <c r="D232" s="2" t="s">
        <v>19</v>
      </c>
      <c r="E232" s="2">
        <v>97</v>
      </c>
      <c r="F232" s="2">
        <v>21825</v>
      </c>
      <c r="G232" s="2">
        <v>8266</v>
      </c>
      <c r="H232" s="2">
        <v>4</v>
      </c>
      <c r="I232" s="2">
        <v>61</v>
      </c>
      <c r="J232" s="2">
        <v>2</v>
      </c>
      <c r="K232" s="2">
        <v>3.8</v>
      </c>
      <c r="L232" s="3">
        <f t="shared" si="9"/>
        <v>0.37873997709049256</v>
      </c>
      <c r="M232" s="4">
        <f t="shared" si="10"/>
        <v>225</v>
      </c>
      <c r="N232" s="2">
        <f t="shared" si="11"/>
        <v>24.25</v>
      </c>
    </row>
    <row r="233" spans="1:14" x14ac:dyDescent="0.25">
      <c r="A233" s="5" t="s">
        <v>104</v>
      </c>
      <c r="B233" s="5" t="s">
        <v>87</v>
      </c>
      <c r="C233" s="5" t="s">
        <v>16</v>
      </c>
      <c r="D233" s="5" t="s">
        <v>17</v>
      </c>
      <c r="E233" s="5">
        <v>16</v>
      </c>
      <c r="F233" s="5">
        <v>3120</v>
      </c>
      <c r="G233" s="5">
        <v>1186</v>
      </c>
      <c r="H233" s="5">
        <v>5</v>
      </c>
      <c r="I233" s="5">
        <v>50</v>
      </c>
      <c r="J233" s="5">
        <v>2</v>
      </c>
      <c r="K233" s="5">
        <v>4.4000000000000004</v>
      </c>
      <c r="L233" s="6">
        <f t="shared" si="9"/>
        <v>0.38012820512820511</v>
      </c>
      <c r="M233" s="7">
        <f t="shared" si="10"/>
        <v>195</v>
      </c>
      <c r="N233" s="5">
        <f t="shared" si="11"/>
        <v>3.2</v>
      </c>
    </row>
    <row r="234" spans="1:14" x14ac:dyDescent="0.25">
      <c r="A234" s="2" t="s">
        <v>104</v>
      </c>
      <c r="B234" s="2" t="s">
        <v>87</v>
      </c>
      <c r="C234" s="2" t="s">
        <v>16</v>
      </c>
      <c r="D234" s="2" t="s">
        <v>18</v>
      </c>
      <c r="E234" s="2">
        <v>56</v>
      </c>
      <c r="F234" s="2">
        <v>17920</v>
      </c>
      <c r="G234" s="2">
        <v>6141</v>
      </c>
      <c r="H234" s="2">
        <v>7</v>
      </c>
      <c r="I234" s="2">
        <v>60</v>
      </c>
      <c r="J234" s="2">
        <v>4</v>
      </c>
      <c r="K234" s="2">
        <v>3.9</v>
      </c>
      <c r="L234" s="3">
        <f t="shared" si="9"/>
        <v>0.34268973214285714</v>
      </c>
      <c r="M234" s="4">
        <f t="shared" si="10"/>
        <v>320</v>
      </c>
      <c r="N234" s="2">
        <f t="shared" si="11"/>
        <v>8</v>
      </c>
    </row>
    <row r="235" spans="1:14" x14ac:dyDescent="0.25">
      <c r="A235" s="5" t="s">
        <v>104</v>
      </c>
      <c r="B235" s="5" t="s">
        <v>87</v>
      </c>
      <c r="C235" s="5" t="s">
        <v>16</v>
      </c>
      <c r="D235" s="5" t="s">
        <v>19</v>
      </c>
      <c r="E235" s="5">
        <v>29</v>
      </c>
      <c r="F235" s="5">
        <v>7656</v>
      </c>
      <c r="G235" s="5">
        <v>3156</v>
      </c>
      <c r="H235" s="5">
        <v>6</v>
      </c>
      <c r="I235" s="5">
        <v>49</v>
      </c>
      <c r="J235" s="5">
        <v>2</v>
      </c>
      <c r="K235" s="5">
        <v>4.4000000000000004</v>
      </c>
      <c r="L235" s="6">
        <f t="shared" si="9"/>
        <v>0.41222570532915359</v>
      </c>
      <c r="M235" s="7">
        <f t="shared" si="10"/>
        <v>264</v>
      </c>
      <c r="N235" s="5">
        <f t="shared" si="11"/>
        <v>4.833333333333333</v>
      </c>
    </row>
    <row r="236" spans="1:14" x14ac:dyDescent="0.25">
      <c r="A236" s="2" t="s">
        <v>105</v>
      </c>
      <c r="B236" s="2" t="s">
        <v>87</v>
      </c>
      <c r="C236" s="2" t="s">
        <v>21</v>
      </c>
      <c r="D236" s="2" t="s">
        <v>17</v>
      </c>
      <c r="E236" s="2">
        <v>33</v>
      </c>
      <c r="F236" s="2">
        <v>8580</v>
      </c>
      <c r="G236" s="2">
        <v>3274</v>
      </c>
      <c r="H236" s="2">
        <v>3</v>
      </c>
      <c r="I236" s="2">
        <v>46</v>
      </c>
      <c r="J236" s="2">
        <v>0</v>
      </c>
      <c r="K236" s="2">
        <v>4.4000000000000004</v>
      </c>
      <c r="L236" s="3">
        <f t="shared" si="9"/>
        <v>0.38158508158508159</v>
      </c>
      <c r="M236" s="4">
        <f t="shared" si="10"/>
        <v>260</v>
      </c>
      <c r="N236" s="2">
        <f t="shared" si="11"/>
        <v>11</v>
      </c>
    </row>
    <row r="237" spans="1:14" x14ac:dyDescent="0.25">
      <c r="A237" s="5" t="s">
        <v>105</v>
      </c>
      <c r="B237" s="5" t="s">
        <v>87</v>
      </c>
      <c r="C237" s="5" t="s">
        <v>21</v>
      </c>
      <c r="D237" s="5" t="s">
        <v>18</v>
      </c>
      <c r="E237" s="5">
        <v>60</v>
      </c>
      <c r="F237" s="5">
        <v>27960</v>
      </c>
      <c r="G237" s="5">
        <v>9950</v>
      </c>
      <c r="H237" s="5">
        <v>6</v>
      </c>
      <c r="I237" s="5">
        <v>68</v>
      </c>
      <c r="J237" s="5">
        <v>0</v>
      </c>
      <c r="K237" s="5">
        <v>4.3</v>
      </c>
      <c r="L237" s="6">
        <f t="shared" si="9"/>
        <v>0.35586552217453504</v>
      </c>
      <c r="M237" s="7">
        <f t="shared" si="10"/>
        <v>466</v>
      </c>
      <c r="N237" s="5">
        <f t="shared" si="11"/>
        <v>10</v>
      </c>
    </row>
    <row r="238" spans="1:14" x14ac:dyDescent="0.25">
      <c r="A238" s="2" t="s">
        <v>105</v>
      </c>
      <c r="B238" s="2" t="s">
        <v>87</v>
      </c>
      <c r="C238" s="2" t="s">
        <v>21</v>
      </c>
      <c r="D238" s="2" t="s">
        <v>19</v>
      </c>
      <c r="E238" s="2">
        <v>36</v>
      </c>
      <c r="F238" s="2">
        <v>11664</v>
      </c>
      <c r="G238" s="2">
        <v>4484</v>
      </c>
      <c r="H238" s="2">
        <v>5</v>
      </c>
      <c r="I238" s="2">
        <v>60</v>
      </c>
      <c r="J238" s="2">
        <v>3</v>
      </c>
      <c r="K238" s="2">
        <v>4.5</v>
      </c>
      <c r="L238" s="3">
        <f t="shared" si="9"/>
        <v>0.3844307270233196</v>
      </c>
      <c r="M238" s="4">
        <f t="shared" si="10"/>
        <v>324</v>
      </c>
      <c r="N238" s="2">
        <f t="shared" si="11"/>
        <v>7.2</v>
      </c>
    </row>
    <row r="239" spans="1:14" x14ac:dyDescent="0.25">
      <c r="A239" s="5" t="s">
        <v>106</v>
      </c>
      <c r="B239" s="5" t="s">
        <v>87</v>
      </c>
      <c r="C239" s="5" t="s">
        <v>23</v>
      </c>
      <c r="D239" s="5" t="s">
        <v>17</v>
      </c>
      <c r="E239" s="5">
        <v>42</v>
      </c>
      <c r="F239" s="5">
        <v>9534</v>
      </c>
      <c r="G239" s="5">
        <v>3017</v>
      </c>
      <c r="H239" s="5">
        <v>3</v>
      </c>
      <c r="I239" s="5">
        <v>35</v>
      </c>
      <c r="J239" s="5">
        <v>0</v>
      </c>
      <c r="K239" s="5">
        <v>4.3</v>
      </c>
      <c r="L239" s="6">
        <f t="shared" si="9"/>
        <v>0.31644640234948607</v>
      </c>
      <c r="M239" s="7">
        <f t="shared" si="10"/>
        <v>227</v>
      </c>
      <c r="N239" s="5">
        <f t="shared" si="11"/>
        <v>14</v>
      </c>
    </row>
    <row r="240" spans="1:14" x14ac:dyDescent="0.25">
      <c r="A240" s="2" t="s">
        <v>106</v>
      </c>
      <c r="B240" s="2" t="s">
        <v>87</v>
      </c>
      <c r="C240" s="2" t="s">
        <v>23</v>
      </c>
      <c r="D240" s="2" t="s">
        <v>18</v>
      </c>
      <c r="E240" s="2">
        <v>66</v>
      </c>
      <c r="F240" s="2">
        <v>20130</v>
      </c>
      <c r="G240" s="2">
        <v>6179</v>
      </c>
      <c r="H240" s="2">
        <v>8</v>
      </c>
      <c r="I240" s="2">
        <v>66</v>
      </c>
      <c r="J240" s="2">
        <v>3</v>
      </c>
      <c r="K240" s="2">
        <v>4.5999999999999996</v>
      </c>
      <c r="L240" s="3">
        <f t="shared" si="9"/>
        <v>0.30695479384003976</v>
      </c>
      <c r="M240" s="4">
        <f t="shared" si="10"/>
        <v>305</v>
      </c>
      <c r="N240" s="2">
        <f t="shared" si="11"/>
        <v>8.25</v>
      </c>
    </row>
    <row r="241" spans="1:14" x14ac:dyDescent="0.25">
      <c r="A241" s="5" t="s">
        <v>106</v>
      </c>
      <c r="B241" s="5" t="s">
        <v>87</v>
      </c>
      <c r="C241" s="5" t="s">
        <v>23</v>
      </c>
      <c r="D241" s="5" t="s">
        <v>19</v>
      </c>
      <c r="E241" s="5">
        <v>52</v>
      </c>
      <c r="F241" s="5">
        <v>17524</v>
      </c>
      <c r="G241" s="5">
        <v>6572</v>
      </c>
      <c r="H241" s="5">
        <v>5</v>
      </c>
      <c r="I241" s="5">
        <v>51</v>
      </c>
      <c r="J241" s="5">
        <v>2</v>
      </c>
      <c r="K241" s="5">
        <v>4.5</v>
      </c>
      <c r="L241" s="6">
        <f t="shared" si="9"/>
        <v>0.37502853229856198</v>
      </c>
      <c r="M241" s="7">
        <f t="shared" si="10"/>
        <v>337</v>
      </c>
      <c r="N241" s="5">
        <f t="shared" si="11"/>
        <v>10.4</v>
      </c>
    </row>
    <row r="242" spans="1:14" x14ac:dyDescent="0.25">
      <c r="A242" s="2" t="s">
        <v>107</v>
      </c>
      <c r="B242" s="2" t="s">
        <v>87</v>
      </c>
      <c r="C242" s="2" t="s">
        <v>25</v>
      </c>
      <c r="D242" s="2" t="s">
        <v>17</v>
      </c>
      <c r="E242" s="2">
        <v>39</v>
      </c>
      <c r="F242" s="2">
        <v>8697</v>
      </c>
      <c r="G242" s="2">
        <v>3095</v>
      </c>
      <c r="H242" s="2">
        <v>4</v>
      </c>
      <c r="I242" s="2">
        <v>50</v>
      </c>
      <c r="J242" s="2">
        <v>1</v>
      </c>
      <c r="K242" s="2">
        <v>3.9</v>
      </c>
      <c r="L242" s="3">
        <f t="shared" si="9"/>
        <v>0.35586984017477291</v>
      </c>
      <c r="M242" s="4">
        <f t="shared" si="10"/>
        <v>223</v>
      </c>
      <c r="N242" s="2">
        <f t="shared" si="11"/>
        <v>9.75</v>
      </c>
    </row>
    <row r="243" spans="1:14" x14ac:dyDescent="0.25">
      <c r="A243" s="5" t="s">
        <v>107</v>
      </c>
      <c r="B243" s="5" t="s">
        <v>87</v>
      </c>
      <c r="C243" s="5" t="s">
        <v>25</v>
      </c>
      <c r="D243" s="5" t="s">
        <v>18</v>
      </c>
      <c r="E243" s="5">
        <v>72</v>
      </c>
      <c r="F243" s="5">
        <v>20520</v>
      </c>
      <c r="G243" s="5">
        <v>8482</v>
      </c>
      <c r="H243" s="5">
        <v>9</v>
      </c>
      <c r="I243" s="5">
        <v>58</v>
      </c>
      <c r="J243" s="5">
        <v>4</v>
      </c>
      <c r="K243" s="5">
        <v>4.2</v>
      </c>
      <c r="L243" s="6">
        <f t="shared" si="9"/>
        <v>0.41335282651072125</v>
      </c>
      <c r="M243" s="7">
        <f t="shared" si="10"/>
        <v>285</v>
      </c>
      <c r="N243" s="5">
        <f t="shared" si="11"/>
        <v>8</v>
      </c>
    </row>
    <row r="244" spans="1:14" x14ac:dyDescent="0.25">
      <c r="A244" s="2" t="s">
        <v>107</v>
      </c>
      <c r="B244" s="2" t="s">
        <v>87</v>
      </c>
      <c r="C244" s="2" t="s">
        <v>25</v>
      </c>
      <c r="D244" s="2" t="s">
        <v>19</v>
      </c>
      <c r="E244" s="2">
        <v>51</v>
      </c>
      <c r="F244" s="2">
        <v>13719</v>
      </c>
      <c r="G244" s="2">
        <v>5692</v>
      </c>
      <c r="H244" s="2">
        <v>6</v>
      </c>
      <c r="I244" s="2">
        <v>57</v>
      </c>
      <c r="J244" s="2">
        <v>3</v>
      </c>
      <c r="K244" s="2">
        <v>4.5</v>
      </c>
      <c r="L244" s="3">
        <f t="shared" si="9"/>
        <v>0.41489904511990672</v>
      </c>
      <c r="M244" s="4">
        <f t="shared" si="10"/>
        <v>269</v>
      </c>
      <c r="N244" s="2">
        <f t="shared" si="11"/>
        <v>8.5</v>
      </c>
    </row>
    <row r="245" spans="1:14" x14ac:dyDescent="0.25">
      <c r="A245" s="5" t="s">
        <v>108</v>
      </c>
      <c r="B245" s="5" t="s">
        <v>87</v>
      </c>
      <c r="C245" s="5" t="s">
        <v>27</v>
      </c>
      <c r="D245" s="5" t="s">
        <v>17</v>
      </c>
      <c r="E245" s="5">
        <v>45</v>
      </c>
      <c r="F245" s="5">
        <v>9675</v>
      </c>
      <c r="G245" s="5">
        <v>3342</v>
      </c>
      <c r="H245" s="5">
        <v>5</v>
      </c>
      <c r="I245" s="5">
        <v>49</v>
      </c>
      <c r="J245" s="5">
        <v>1</v>
      </c>
      <c r="K245" s="5">
        <v>3.9</v>
      </c>
      <c r="L245" s="6">
        <f t="shared" si="9"/>
        <v>0.34542635658914728</v>
      </c>
      <c r="M245" s="7">
        <f t="shared" si="10"/>
        <v>215</v>
      </c>
      <c r="N245" s="5">
        <f t="shared" si="11"/>
        <v>9</v>
      </c>
    </row>
    <row r="246" spans="1:14" x14ac:dyDescent="0.25">
      <c r="A246" s="2" t="s">
        <v>108</v>
      </c>
      <c r="B246" s="2" t="s">
        <v>87</v>
      </c>
      <c r="C246" s="2" t="s">
        <v>27</v>
      </c>
      <c r="D246" s="2" t="s">
        <v>18</v>
      </c>
      <c r="E246" s="2">
        <v>136</v>
      </c>
      <c r="F246" s="2">
        <v>43248</v>
      </c>
      <c r="G246" s="2">
        <v>13378</v>
      </c>
      <c r="H246" s="2">
        <v>8</v>
      </c>
      <c r="I246" s="2">
        <v>61</v>
      </c>
      <c r="J246" s="2">
        <v>4</v>
      </c>
      <c r="K246" s="2">
        <v>4.7</v>
      </c>
      <c r="L246" s="3">
        <f t="shared" si="9"/>
        <v>0.30933222345541989</v>
      </c>
      <c r="M246" s="4">
        <f t="shared" si="10"/>
        <v>318</v>
      </c>
      <c r="N246" s="2">
        <f t="shared" si="11"/>
        <v>17</v>
      </c>
    </row>
    <row r="247" spans="1:14" x14ac:dyDescent="0.25">
      <c r="A247" s="5" t="s">
        <v>108</v>
      </c>
      <c r="B247" s="5" t="s">
        <v>87</v>
      </c>
      <c r="C247" s="5" t="s">
        <v>27</v>
      </c>
      <c r="D247" s="5" t="s">
        <v>19</v>
      </c>
      <c r="E247" s="5">
        <v>52</v>
      </c>
      <c r="F247" s="5">
        <v>12376</v>
      </c>
      <c r="G247" s="5">
        <v>5099</v>
      </c>
      <c r="H247" s="5">
        <v>4</v>
      </c>
      <c r="I247" s="5">
        <v>50</v>
      </c>
      <c r="J247" s="5">
        <v>1</v>
      </c>
      <c r="K247" s="5">
        <v>3.9</v>
      </c>
      <c r="L247" s="6">
        <f t="shared" si="9"/>
        <v>0.41200711053652228</v>
      </c>
      <c r="M247" s="7">
        <f t="shared" si="10"/>
        <v>238</v>
      </c>
      <c r="N247" s="5">
        <f t="shared" si="11"/>
        <v>13</v>
      </c>
    </row>
    <row r="248" spans="1:14" x14ac:dyDescent="0.25">
      <c r="A248" s="2" t="s">
        <v>109</v>
      </c>
      <c r="B248" s="2" t="s">
        <v>87</v>
      </c>
      <c r="C248" s="2" t="s">
        <v>29</v>
      </c>
      <c r="D248" s="2" t="s">
        <v>17</v>
      </c>
      <c r="E248" s="2">
        <v>51</v>
      </c>
      <c r="F248" s="2">
        <v>9180</v>
      </c>
      <c r="G248" s="2">
        <v>2835</v>
      </c>
      <c r="H248" s="2">
        <v>5</v>
      </c>
      <c r="I248" s="2">
        <v>46</v>
      </c>
      <c r="J248" s="2">
        <v>2</v>
      </c>
      <c r="K248" s="2">
        <v>4.2</v>
      </c>
      <c r="L248" s="3">
        <f t="shared" si="9"/>
        <v>0.30882352941176472</v>
      </c>
      <c r="M248" s="4">
        <f t="shared" si="10"/>
        <v>180</v>
      </c>
      <c r="N248" s="2">
        <f t="shared" si="11"/>
        <v>10.199999999999999</v>
      </c>
    </row>
    <row r="249" spans="1:14" x14ac:dyDescent="0.25">
      <c r="A249" s="5" t="s">
        <v>109</v>
      </c>
      <c r="B249" s="5" t="s">
        <v>87</v>
      </c>
      <c r="C249" s="5" t="s">
        <v>29</v>
      </c>
      <c r="D249" s="5" t="s">
        <v>18</v>
      </c>
      <c r="E249" s="5">
        <v>155</v>
      </c>
      <c r="F249" s="5">
        <v>44795</v>
      </c>
      <c r="G249" s="5">
        <v>17036</v>
      </c>
      <c r="H249" s="5">
        <v>6</v>
      </c>
      <c r="I249" s="5">
        <v>68</v>
      </c>
      <c r="J249" s="5">
        <v>1</v>
      </c>
      <c r="K249" s="5">
        <v>3.9</v>
      </c>
      <c r="L249" s="6">
        <f t="shared" si="9"/>
        <v>0.38031030248911707</v>
      </c>
      <c r="M249" s="7">
        <f t="shared" si="10"/>
        <v>289</v>
      </c>
      <c r="N249" s="5">
        <f t="shared" si="11"/>
        <v>25.833333333333332</v>
      </c>
    </row>
    <row r="250" spans="1:14" x14ac:dyDescent="0.25">
      <c r="A250" s="2" t="s">
        <v>109</v>
      </c>
      <c r="B250" s="2" t="s">
        <v>87</v>
      </c>
      <c r="C250" s="2" t="s">
        <v>29</v>
      </c>
      <c r="D250" s="2" t="s">
        <v>19</v>
      </c>
      <c r="E250" s="2">
        <v>49</v>
      </c>
      <c r="F250" s="2">
        <v>15533</v>
      </c>
      <c r="G250" s="2">
        <v>5136</v>
      </c>
      <c r="H250" s="2">
        <v>4</v>
      </c>
      <c r="I250" s="2">
        <v>52</v>
      </c>
      <c r="J250" s="2">
        <v>3</v>
      </c>
      <c r="K250" s="2">
        <v>3.8</v>
      </c>
      <c r="L250" s="3">
        <f t="shared" si="9"/>
        <v>0.33065087233631624</v>
      </c>
      <c r="M250" s="4">
        <f t="shared" si="10"/>
        <v>317</v>
      </c>
      <c r="N250" s="2">
        <f t="shared" si="11"/>
        <v>12.25</v>
      </c>
    </row>
    <row r="251" spans="1:14" x14ac:dyDescent="0.25">
      <c r="A251" s="5" t="s">
        <v>110</v>
      </c>
      <c r="B251" s="5" t="s">
        <v>87</v>
      </c>
      <c r="C251" s="5" t="s">
        <v>31</v>
      </c>
      <c r="D251" s="5" t="s">
        <v>17</v>
      </c>
      <c r="E251" s="5">
        <v>33</v>
      </c>
      <c r="F251" s="5">
        <v>6072</v>
      </c>
      <c r="G251" s="5">
        <v>2095</v>
      </c>
      <c r="H251" s="5">
        <v>3</v>
      </c>
      <c r="I251" s="5">
        <v>46</v>
      </c>
      <c r="J251" s="5">
        <v>0</v>
      </c>
      <c r="K251" s="5">
        <v>4.5</v>
      </c>
      <c r="L251" s="6">
        <f t="shared" si="9"/>
        <v>0.34502635046113306</v>
      </c>
      <c r="M251" s="7">
        <f t="shared" si="10"/>
        <v>184</v>
      </c>
      <c r="N251" s="5">
        <f t="shared" si="11"/>
        <v>11</v>
      </c>
    </row>
    <row r="252" spans="1:14" x14ac:dyDescent="0.25">
      <c r="A252" s="2" t="s">
        <v>110</v>
      </c>
      <c r="B252" s="2" t="s">
        <v>87</v>
      </c>
      <c r="C252" s="2" t="s">
        <v>31</v>
      </c>
      <c r="D252" s="2" t="s">
        <v>18</v>
      </c>
      <c r="E252" s="2">
        <v>167</v>
      </c>
      <c r="F252" s="2">
        <v>70140</v>
      </c>
      <c r="G252" s="2">
        <v>20695</v>
      </c>
      <c r="H252" s="2">
        <v>10</v>
      </c>
      <c r="I252" s="2">
        <v>67</v>
      </c>
      <c r="J252" s="2">
        <v>3</v>
      </c>
      <c r="K252" s="2">
        <v>4.3</v>
      </c>
      <c r="L252" s="3">
        <f t="shared" si="9"/>
        <v>0.295052751639578</v>
      </c>
      <c r="M252" s="4">
        <f t="shared" si="10"/>
        <v>420</v>
      </c>
      <c r="N252" s="2">
        <f t="shared" si="11"/>
        <v>16.7</v>
      </c>
    </row>
    <row r="253" spans="1:14" x14ac:dyDescent="0.25">
      <c r="A253" s="5" t="s">
        <v>110</v>
      </c>
      <c r="B253" s="5" t="s">
        <v>87</v>
      </c>
      <c r="C253" s="5" t="s">
        <v>31</v>
      </c>
      <c r="D253" s="5" t="s">
        <v>19</v>
      </c>
      <c r="E253" s="5">
        <v>84</v>
      </c>
      <c r="F253" s="5">
        <v>22344</v>
      </c>
      <c r="G253" s="5">
        <v>7649</v>
      </c>
      <c r="H253" s="5">
        <v>6</v>
      </c>
      <c r="I253" s="5">
        <v>59</v>
      </c>
      <c r="J253" s="5">
        <v>0</v>
      </c>
      <c r="K253" s="5">
        <v>4.5</v>
      </c>
      <c r="L253" s="6">
        <f t="shared" si="9"/>
        <v>0.34232903687790905</v>
      </c>
      <c r="M253" s="7">
        <f t="shared" si="10"/>
        <v>266</v>
      </c>
      <c r="N253" s="5">
        <f t="shared" si="11"/>
        <v>14</v>
      </c>
    </row>
    <row r="254" spans="1:14" x14ac:dyDescent="0.25">
      <c r="A254" s="2" t="s">
        <v>111</v>
      </c>
      <c r="B254" s="2" t="s">
        <v>87</v>
      </c>
      <c r="C254" s="2" t="s">
        <v>16</v>
      </c>
      <c r="D254" s="2" t="s">
        <v>17</v>
      </c>
      <c r="E254" s="2">
        <v>34</v>
      </c>
      <c r="F254" s="2">
        <v>8092</v>
      </c>
      <c r="G254" s="2">
        <v>2543</v>
      </c>
      <c r="H254" s="2">
        <v>4</v>
      </c>
      <c r="I254" s="2">
        <v>41</v>
      </c>
      <c r="J254" s="2">
        <v>2</v>
      </c>
      <c r="K254" s="2">
        <v>4.5</v>
      </c>
      <c r="L254" s="3">
        <f t="shared" si="9"/>
        <v>0.31426099851705386</v>
      </c>
      <c r="M254" s="4">
        <f t="shared" si="10"/>
        <v>238</v>
      </c>
      <c r="N254" s="2">
        <f t="shared" si="11"/>
        <v>8.5</v>
      </c>
    </row>
    <row r="255" spans="1:14" x14ac:dyDescent="0.25">
      <c r="A255" s="5" t="s">
        <v>111</v>
      </c>
      <c r="B255" s="5" t="s">
        <v>87</v>
      </c>
      <c r="C255" s="5" t="s">
        <v>16</v>
      </c>
      <c r="D255" s="5" t="s">
        <v>18</v>
      </c>
      <c r="E255" s="5">
        <v>74</v>
      </c>
      <c r="F255" s="5">
        <v>34484</v>
      </c>
      <c r="G255" s="5">
        <v>11712</v>
      </c>
      <c r="H255" s="5">
        <v>10</v>
      </c>
      <c r="I255" s="5">
        <v>55</v>
      </c>
      <c r="J255" s="5">
        <v>2</v>
      </c>
      <c r="K255" s="5">
        <v>3.8</v>
      </c>
      <c r="L255" s="6">
        <f t="shared" si="9"/>
        <v>0.33963577311216797</v>
      </c>
      <c r="M255" s="7">
        <f t="shared" si="10"/>
        <v>466</v>
      </c>
      <c r="N255" s="5">
        <f t="shared" si="11"/>
        <v>7.4</v>
      </c>
    </row>
    <row r="256" spans="1:14" x14ac:dyDescent="0.25">
      <c r="A256" s="2" t="s">
        <v>111</v>
      </c>
      <c r="B256" s="2" t="s">
        <v>87</v>
      </c>
      <c r="C256" s="2" t="s">
        <v>16</v>
      </c>
      <c r="D256" s="2" t="s">
        <v>19</v>
      </c>
      <c r="E256" s="2">
        <v>46</v>
      </c>
      <c r="F256" s="2">
        <v>12558</v>
      </c>
      <c r="G256" s="2">
        <v>4495</v>
      </c>
      <c r="H256" s="2">
        <v>4</v>
      </c>
      <c r="I256" s="2">
        <v>60</v>
      </c>
      <c r="J256" s="2">
        <v>0</v>
      </c>
      <c r="K256" s="2">
        <v>4.4000000000000004</v>
      </c>
      <c r="L256" s="3">
        <f t="shared" si="9"/>
        <v>0.35793916228698835</v>
      </c>
      <c r="M256" s="4">
        <f t="shared" si="10"/>
        <v>273</v>
      </c>
      <c r="N256" s="2">
        <f t="shared" si="11"/>
        <v>11.5</v>
      </c>
    </row>
    <row r="257" spans="1:14" x14ac:dyDescent="0.25">
      <c r="A257" s="5" t="s">
        <v>112</v>
      </c>
      <c r="B257" s="5" t="s">
        <v>87</v>
      </c>
      <c r="C257" s="5" t="s">
        <v>21</v>
      </c>
      <c r="D257" s="5" t="s">
        <v>17</v>
      </c>
      <c r="E257" s="5">
        <v>30</v>
      </c>
      <c r="F257" s="5">
        <v>6690</v>
      </c>
      <c r="G257" s="5">
        <v>2794</v>
      </c>
      <c r="H257" s="5">
        <v>4</v>
      </c>
      <c r="I257" s="5">
        <v>51</v>
      </c>
      <c r="J257" s="5">
        <v>0</v>
      </c>
      <c r="K257" s="5">
        <v>4.3</v>
      </c>
      <c r="L257" s="6">
        <f t="shared" si="9"/>
        <v>0.41763826606875937</v>
      </c>
      <c r="M257" s="7">
        <f t="shared" si="10"/>
        <v>223</v>
      </c>
      <c r="N257" s="5">
        <f t="shared" si="11"/>
        <v>7.5</v>
      </c>
    </row>
    <row r="258" spans="1:14" x14ac:dyDescent="0.25">
      <c r="A258" s="2" t="s">
        <v>112</v>
      </c>
      <c r="B258" s="2" t="s">
        <v>87</v>
      </c>
      <c r="C258" s="2" t="s">
        <v>21</v>
      </c>
      <c r="D258" s="2" t="s">
        <v>18</v>
      </c>
      <c r="E258" s="2">
        <v>98</v>
      </c>
      <c r="F258" s="2">
        <v>39788</v>
      </c>
      <c r="G258" s="2">
        <v>12292</v>
      </c>
      <c r="H258" s="2">
        <v>7</v>
      </c>
      <c r="I258" s="2">
        <v>75</v>
      </c>
      <c r="J258" s="2">
        <v>4</v>
      </c>
      <c r="K258" s="2">
        <v>4.3</v>
      </c>
      <c r="L258" s="3">
        <f t="shared" ref="L258:L321" si="12">G258/F258</f>
        <v>0.30893736805066857</v>
      </c>
      <c r="M258" s="4">
        <f t="shared" ref="M258:M321" si="13">F258/E258</f>
        <v>406</v>
      </c>
      <c r="N258" s="2">
        <f t="shared" ref="N258:N321" si="14">E258/H258</f>
        <v>14</v>
      </c>
    </row>
    <row r="259" spans="1:14" x14ac:dyDescent="0.25">
      <c r="A259" s="5" t="s">
        <v>112</v>
      </c>
      <c r="B259" s="5" t="s">
        <v>87</v>
      </c>
      <c r="C259" s="5" t="s">
        <v>21</v>
      </c>
      <c r="D259" s="5" t="s">
        <v>19</v>
      </c>
      <c r="E259" s="5">
        <v>43</v>
      </c>
      <c r="F259" s="5">
        <v>14663</v>
      </c>
      <c r="G259" s="5">
        <v>4547</v>
      </c>
      <c r="H259" s="5">
        <v>6</v>
      </c>
      <c r="I259" s="5">
        <v>65</v>
      </c>
      <c r="J259" s="5">
        <v>1</v>
      </c>
      <c r="K259" s="5">
        <v>4.3</v>
      </c>
      <c r="L259" s="6">
        <f t="shared" si="12"/>
        <v>0.31010025233581123</v>
      </c>
      <c r="M259" s="7">
        <f t="shared" si="13"/>
        <v>341</v>
      </c>
      <c r="N259" s="5">
        <f t="shared" si="14"/>
        <v>7.166666666666667</v>
      </c>
    </row>
    <row r="260" spans="1:14" x14ac:dyDescent="0.25">
      <c r="A260" s="2" t="s">
        <v>113</v>
      </c>
      <c r="B260" s="2" t="s">
        <v>87</v>
      </c>
      <c r="C260" s="2" t="s">
        <v>23</v>
      </c>
      <c r="D260" s="2" t="s">
        <v>17</v>
      </c>
      <c r="E260" s="2">
        <v>16</v>
      </c>
      <c r="F260" s="2">
        <v>3136</v>
      </c>
      <c r="G260" s="2">
        <v>1119</v>
      </c>
      <c r="H260" s="2">
        <v>5</v>
      </c>
      <c r="I260" s="2">
        <v>39</v>
      </c>
      <c r="J260" s="2">
        <v>2</v>
      </c>
      <c r="K260" s="2">
        <v>4.0999999999999996</v>
      </c>
      <c r="L260" s="3">
        <f t="shared" si="12"/>
        <v>0.35682397959183676</v>
      </c>
      <c r="M260" s="4">
        <f t="shared" si="13"/>
        <v>196</v>
      </c>
      <c r="N260" s="2">
        <f t="shared" si="14"/>
        <v>3.2</v>
      </c>
    </row>
    <row r="261" spans="1:14" x14ac:dyDescent="0.25">
      <c r="A261" s="5" t="s">
        <v>113</v>
      </c>
      <c r="B261" s="5" t="s">
        <v>87</v>
      </c>
      <c r="C261" s="5" t="s">
        <v>23</v>
      </c>
      <c r="D261" s="5" t="s">
        <v>18</v>
      </c>
      <c r="E261" s="5">
        <v>87</v>
      </c>
      <c r="F261" s="5">
        <v>32364</v>
      </c>
      <c r="G261" s="5">
        <v>9840</v>
      </c>
      <c r="H261" s="5">
        <v>6</v>
      </c>
      <c r="I261" s="5">
        <v>66</v>
      </c>
      <c r="J261" s="5">
        <v>3</v>
      </c>
      <c r="K261" s="5">
        <v>4.5999999999999996</v>
      </c>
      <c r="L261" s="6">
        <f t="shared" si="12"/>
        <v>0.30404152762328512</v>
      </c>
      <c r="M261" s="7">
        <f t="shared" si="13"/>
        <v>372</v>
      </c>
      <c r="N261" s="5">
        <f t="shared" si="14"/>
        <v>14.5</v>
      </c>
    </row>
    <row r="262" spans="1:14" x14ac:dyDescent="0.25">
      <c r="A262" s="2" t="s">
        <v>113</v>
      </c>
      <c r="B262" s="2" t="s">
        <v>87</v>
      </c>
      <c r="C262" s="2" t="s">
        <v>23</v>
      </c>
      <c r="D262" s="2" t="s">
        <v>19</v>
      </c>
      <c r="E262" s="2">
        <v>46</v>
      </c>
      <c r="F262" s="2">
        <v>10304</v>
      </c>
      <c r="G262" s="2">
        <v>3574</v>
      </c>
      <c r="H262" s="2">
        <v>6</v>
      </c>
      <c r="I262" s="2">
        <v>58</v>
      </c>
      <c r="J262" s="2">
        <v>3</v>
      </c>
      <c r="K262" s="2">
        <v>3.7</v>
      </c>
      <c r="L262" s="3">
        <f t="shared" si="12"/>
        <v>0.34685559006211181</v>
      </c>
      <c r="M262" s="4">
        <f t="shared" si="13"/>
        <v>224</v>
      </c>
      <c r="N262" s="2">
        <f t="shared" si="14"/>
        <v>7.666666666666667</v>
      </c>
    </row>
    <row r="263" spans="1:14" x14ac:dyDescent="0.25">
      <c r="A263" s="5" t="s">
        <v>114</v>
      </c>
      <c r="B263" s="5" t="s">
        <v>87</v>
      </c>
      <c r="C263" s="5" t="s">
        <v>25</v>
      </c>
      <c r="D263" s="5" t="s">
        <v>17</v>
      </c>
      <c r="E263" s="5">
        <v>39</v>
      </c>
      <c r="F263" s="5">
        <v>7137</v>
      </c>
      <c r="G263" s="5">
        <v>2000</v>
      </c>
      <c r="H263" s="5">
        <v>4</v>
      </c>
      <c r="I263" s="5">
        <v>45</v>
      </c>
      <c r="J263" s="5">
        <v>2</v>
      </c>
      <c r="K263" s="5">
        <v>4.0999999999999996</v>
      </c>
      <c r="L263" s="6">
        <f t="shared" si="12"/>
        <v>0.28022978842650975</v>
      </c>
      <c r="M263" s="7">
        <f t="shared" si="13"/>
        <v>183</v>
      </c>
      <c r="N263" s="5">
        <f t="shared" si="14"/>
        <v>9.75</v>
      </c>
    </row>
    <row r="264" spans="1:14" x14ac:dyDescent="0.25">
      <c r="A264" s="2" t="s">
        <v>114</v>
      </c>
      <c r="B264" s="2" t="s">
        <v>87</v>
      </c>
      <c r="C264" s="2" t="s">
        <v>25</v>
      </c>
      <c r="D264" s="2" t="s">
        <v>18</v>
      </c>
      <c r="E264" s="2">
        <v>96</v>
      </c>
      <c r="F264" s="2">
        <v>44352</v>
      </c>
      <c r="G264" s="2">
        <v>13248</v>
      </c>
      <c r="H264" s="2">
        <v>8</v>
      </c>
      <c r="I264" s="2">
        <v>72</v>
      </c>
      <c r="J264" s="2">
        <v>2</v>
      </c>
      <c r="K264" s="2">
        <v>3.9</v>
      </c>
      <c r="L264" s="3">
        <f t="shared" si="12"/>
        <v>0.29870129870129869</v>
      </c>
      <c r="M264" s="4">
        <f t="shared" si="13"/>
        <v>462</v>
      </c>
      <c r="N264" s="2">
        <f t="shared" si="14"/>
        <v>12</v>
      </c>
    </row>
    <row r="265" spans="1:14" x14ac:dyDescent="0.25">
      <c r="A265" s="5" t="s">
        <v>114</v>
      </c>
      <c r="B265" s="5" t="s">
        <v>87</v>
      </c>
      <c r="C265" s="5" t="s">
        <v>25</v>
      </c>
      <c r="D265" s="5" t="s">
        <v>19</v>
      </c>
      <c r="E265" s="5">
        <v>60</v>
      </c>
      <c r="F265" s="5">
        <v>16200</v>
      </c>
      <c r="G265" s="5">
        <v>6456</v>
      </c>
      <c r="H265" s="5">
        <v>4</v>
      </c>
      <c r="I265" s="5">
        <v>55</v>
      </c>
      <c r="J265" s="5">
        <v>3</v>
      </c>
      <c r="K265" s="5">
        <v>4.5999999999999996</v>
      </c>
      <c r="L265" s="6">
        <f t="shared" si="12"/>
        <v>0.39851851851851849</v>
      </c>
      <c r="M265" s="7">
        <f t="shared" si="13"/>
        <v>270</v>
      </c>
      <c r="N265" s="5">
        <f t="shared" si="14"/>
        <v>15</v>
      </c>
    </row>
    <row r="266" spans="1:14" x14ac:dyDescent="0.25">
      <c r="A266" s="2" t="s">
        <v>115</v>
      </c>
      <c r="B266" s="2" t="s">
        <v>87</v>
      </c>
      <c r="C266" s="2" t="s">
        <v>27</v>
      </c>
      <c r="D266" s="2" t="s">
        <v>17</v>
      </c>
      <c r="E266" s="2">
        <v>58</v>
      </c>
      <c r="F266" s="2">
        <v>14442</v>
      </c>
      <c r="G266" s="2">
        <v>4642</v>
      </c>
      <c r="H266" s="2">
        <v>3</v>
      </c>
      <c r="I266" s="2">
        <v>53</v>
      </c>
      <c r="J266" s="2">
        <v>0</v>
      </c>
      <c r="K266" s="2">
        <v>4.4000000000000004</v>
      </c>
      <c r="L266" s="3">
        <f t="shared" si="12"/>
        <v>0.32142362553662929</v>
      </c>
      <c r="M266" s="4">
        <f t="shared" si="13"/>
        <v>249</v>
      </c>
      <c r="N266" s="2">
        <f t="shared" si="14"/>
        <v>19.333333333333332</v>
      </c>
    </row>
    <row r="267" spans="1:14" x14ac:dyDescent="0.25">
      <c r="A267" s="5" t="s">
        <v>115</v>
      </c>
      <c r="B267" s="5" t="s">
        <v>87</v>
      </c>
      <c r="C267" s="5" t="s">
        <v>27</v>
      </c>
      <c r="D267" s="5" t="s">
        <v>18</v>
      </c>
      <c r="E267" s="5">
        <v>160</v>
      </c>
      <c r="F267" s="5">
        <v>67360</v>
      </c>
      <c r="G267" s="5">
        <v>20728</v>
      </c>
      <c r="H267" s="5">
        <v>8</v>
      </c>
      <c r="I267" s="5">
        <v>48</v>
      </c>
      <c r="J267" s="5">
        <v>3</v>
      </c>
      <c r="K267" s="5">
        <v>4.3</v>
      </c>
      <c r="L267" s="6">
        <f t="shared" si="12"/>
        <v>0.30771971496437056</v>
      </c>
      <c r="M267" s="7">
        <f t="shared" si="13"/>
        <v>421</v>
      </c>
      <c r="N267" s="5">
        <f t="shared" si="14"/>
        <v>20</v>
      </c>
    </row>
    <row r="268" spans="1:14" x14ac:dyDescent="0.25">
      <c r="A268" s="2" t="s">
        <v>115</v>
      </c>
      <c r="B268" s="2" t="s">
        <v>87</v>
      </c>
      <c r="C268" s="2" t="s">
        <v>27</v>
      </c>
      <c r="D268" s="2" t="s">
        <v>19</v>
      </c>
      <c r="E268" s="2">
        <v>60</v>
      </c>
      <c r="F268" s="2">
        <v>20580</v>
      </c>
      <c r="G268" s="2">
        <v>8195</v>
      </c>
      <c r="H268" s="2">
        <v>4</v>
      </c>
      <c r="I268" s="2">
        <v>50</v>
      </c>
      <c r="J268" s="2">
        <v>3</v>
      </c>
      <c r="K268" s="2">
        <v>4</v>
      </c>
      <c r="L268" s="3">
        <f t="shared" si="12"/>
        <v>0.39820213799805637</v>
      </c>
      <c r="M268" s="4">
        <f t="shared" si="13"/>
        <v>343</v>
      </c>
      <c r="N268" s="2">
        <f t="shared" si="14"/>
        <v>15</v>
      </c>
    </row>
    <row r="269" spans="1:14" x14ac:dyDescent="0.25">
      <c r="A269" s="5" t="s">
        <v>116</v>
      </c>
      <c r="B269" s="5" t="s">
        <v>87</v>
      </c>
      <c r="C269" s="5" t="s">
        <v>29</v>
      </c>
      <c r="D269" s="5" t="s">
        <v>17</v>
      </c>
      <c r="E269" s="5">
        <v>40</v>
      </c>
      <c r="F269" s="5">
        <v>8840</v>
      </c>
      <c r="G269" s="5">
        <v>2616</v>
      </c>
      <c r="H269" s="5">
        <v>4</v>
      </c>
      <c r="I269" s="5">
        <v>51</v>
      </c>
      <c r="J269" s="5">
        <v>0</v>
      </c>
      <c r="K269" s="5">
        <v>4.0999999999999996</v>
      </c>
      <c r="L269" s="6">
        <f t="shared" si="12"/>
        <v>0.29592760180995475</v>
      </c>
      <c r="M269" s="7">
        <f t="shared" si="13"/>
        <v>221</v>
      </c>
      <c r="N269" s="5">
        <f t="shared" si="14"/>
        <v>10</v>
      </c>
    </row>
    <row r="270" spans="1:14" x14ac:dyDescent="0.25">
      <c r="A270" s="2" t="s">
        <v>116</v>
      </c>
      <c r="B270" s="2" t="s">
        <v>87</v>
      </c>
      <c r="C270" s="2" t="s">
        <v>29</v>
      </c>
      <c r="D270" s="2" t="s">
        <v>18</v>
      </c>
      <c r="E270" s="2">
        <v>187</v>
      </c>
      <c r="F270" s="2">
        <v>57783</v>
      </c>
      <c r="G270" s="2">
        <v>19058</v>
      </c>
      <c r="H270" s="2">
        <v>8</v>
      </c>
      <c r="I270" s="2">
        <v>74</v>
      </c>
      <c r="J270" s="2">
        <v>3</v>
      </c>
      <c r="K270" s="2">
        <v>4.0999999999999996</v>
      </c>
      <c r="L270" s="3">
        <f t="shared" si="12"/>
        <v>0.32982018932904139</v>
      </c>
      <c r="M270" s="4">
        <f t="shared" si="13"/>
        <v>309</v>
      </c>
      <c r="N270" s="2">
        <f t="shared" si="14"/>
        <v>23.375</v>
      </c>
    </row>
    <row r="271" spans="1:14" x14ac:dyDescent="0.25">
      <c r="A271" s="5" t="s">
        <v>116</v>
      </c>
      <c r="B271" s="5" t="s">
        <v>87</v>
      </c>
      <c r="C271" s="5" t="s">
        <v>29</v>
      </c>
      <c r="D271" s="5" t="s">
        <v>19</v>
      </c>
      <c r="E271" s="5">
        <v>58</v>
      </c>
      <c r="F271" s="5">
        <v>17632</v>
      </c>
      <c r="G271" s="5">
        <v>6385</v>
      </c>
      <c r="H271" s="5">
        <v>6</v>
      </c>
      <c r="I271" s="5">
        <v>55</v>
      </c>
      <c r="J271" s="5">
        <v>1</v>
      </c>
      <c r="K271" s="5">
        <v>4.4000000000000004</v>
      </c>
      <c r="L271" s="6">
        <f t="shared" si="12"/>
        <v>0.36212568058076228</v>
      </c>
      <c r="M271" s="7">
        <f t="shared" si="13"/>
        <v>304</v>
      </c>
      <c r="N271" s="5">
        <f t="shared" si="14"/>
        <v>9.6666666666666661</v>
      </c>
    </row>
    <row r="272" spans="1:14" x14ac:dyDescent="0.25">
      <c r="A272" s="2" t="s">
        <v>117</v>
      </c>
      <c r="B272" s="2" t="s">
        <v>87</v>
      </c>
      <c r="C272" s="2" t="s">
        <v>31</v>
      </c>
      <c r="D272" s="2" t="s">
        <v>17</v>
      </c>
      <c r="E272" s="2">
        <v>48</v>
      </c>
      <c r="F272" s="2">
        <v>10224</v>
      </c>
      <c r="G272" s="2">
        <v>3412</v>
      </c>
      <c r="H272" s="2">
        <v>4</v>
      </c>
      <c r="I272" s="2">
        <v>41</v>
      </c>
      <c r="J272" s="2">
        <v>0</v>
      </c>
      <c r="K272" s="2">
        <v>4.0999999999999996</v>
      </c>
      <c r="L272" s="3">
        <f t="shared" si="12"/>
        <v>0.33372456964006258</v>
      </c>
      <c r="M272" s="4">
        <f t="shared" si="13"/>
        <v>213</v>
      </c>
      <c r="N272" s="2">
        <f t="shared" si="14"/>
        <v>12</v>
      </c>
    </row>
    <row r="273" spans="1:14" x14ac:dyDescent="0.25">
      <c r="A273" s="5" t="s">
        <v>117</v>
      </c>
      <c r="B273" s="5" t="s">
        <v>87</v>
      </c>
      <c r="C273" s="5" t="s">
        <v>31</v>
      </c>
      <c r="D273" s="5" t="s">
        <v>18</v>
      </c>
      <c r="E273" s="5">
        <v>149</v>
      </c>
      <c r="F273" s="5">
        <v>71073</v>
      </c>
      <c r="G273" s="5">
        <v>22535</v>
      </c>
      <c r="H273" s="5">
        <v>6</v>
      </c>
      <c r="I273" s="5">
        <v>64</v>
      </c>
      <c r="J273" s="5">
        <v>3</v>
      </c>
      <c r="K273" s="5">
        <v>3.5</v>
      </c>
      <c r="L273" s="6">
        <f t="shared" si="12"/>
        <v>0.31706836632757868</v>
      </c>
      <c r="M273" s="7">
        <f t="shared" si="13"/>
        <v>477</v>
      </c>
      <c r="N273" s="5">
        <f t="shared" si="14"/>
        <v>24.833333333333332</v>
      </c>
    </row>
    <row r="274" spans="1:14" x14ac:dyDescent="0.25">
      <c r="A274" s="2" t="s">
        <v>117</v>
      </c>
      <c r="B274" s="2" t="s">
        <v>87</v>
      </c>
      <c r="C274" s="2" t="s">
        <v>31</v>
      </c>
      <c r="D274" s="2" t="s">
        <v>19</v>
      </c>
      <c r="E274" s="2">
        <v>91</v>
      </c>
      <c r="F274" s="2">
        <v>25116</v>
      </c>
      <c r="G274" s="2">
        <v>10492</v>
      </c>
      <c r="H274" s="2">
        <v>5</v>
      </c>
      <c r="I274" s="2">
        <v>44</v>
      </c>
      <c r="J274" s="2">
        <v>3</v>
      </c>
      <c r="K274" s="2">
        <v>4.2</v>
      </c>
      <c r="L274" s="3">
        <f t="shared" si="12"/>
        <v>0.41774167861124384</v>
      </c>
      <c r="M274" s="4">
        <f t="shared" si="13"/>
        <v>276</v>
      </c>
      <c r="N274" s="2">
        <f t="shared" si="14"/>
        <v>18.2</v>
      </c>
    </row>
    <row r="275" spans="1:14" x14ac:dyDescent="0.25">
      <c r="A275" s="5" t="s">
        <v>118</v>
      </c>
      <c r="B275" s="5" t="s">
        <v>119</v>
      </c>
      <c r="C275" s="5" t="s">
        <v>16</v>
      </c>
      <c r="D275" s="5" t="s">
        <v>17</v>
      </c>
      <c r="E275" s="5">
        <v>22</v>
      </c>
      <c r="F275" s="5">
        <v>5522</v>
      </c>
      <c r="G275" s="5">
        <v>2156</v>
      </c>
      <c r="H275" s="5">
        <v>4</v>
      </c>
      <c r="I275" s="5">
        <v>44</v>
      </c>
      <c r="J275" s="5">
        <v>0</v>
      </c>
      <c r="K275" s="5">
        <v>3.9</v>
      </c>
      <c r="L275" s="6">
        <f t="shared" si="12"/>
        <v>0.39043824701195218</v>
      </c>
      <c r="M275" s="7">
        <f t="shared" si="13"/>
        <v>251</v>
      </c>
      <c r="N275" s="5">
        <f t="shared" si="14"/>
        <v>5.5</v>
      </c>
    </row>
    <row r="276" spans="1:14" x14ac:dyDescent="0.25">
      <c r="A276" s="2" t="s">
        <v>118</v>
      </c>
      <c r="B276" s="2" t="s">
        <v>119</v>
      </c>
      <c r="C276" s="2" t="s">
        <v>16</v>
      </c>
      <c r="D276" s="2" t="s">
        <v>18</v>
      </c>
      <c r="E276" s="2">
        <v>81</v>
      </c>
      <c r="F276" s="2">
        <v>31266</v>
      </c>
      <c r="G276" s="2">
        <v>9502</v>
      </c>
      <c r="H276" s="2">
        <v>7</v>
      </c>
      <c r="I276" s="2">
        <v>74</v>
      </c>
      <c r="J276" s="2">
        <v>3</v>
      </c>
      <c r="K276" s="2">
        <v>3.6</v>
      </c>
      <c r="L276" s="3">
        <f t="shared" si="12"/>
        <v>0.30390839889976334</v>
      </c>
      <c r="M276" s="4">
        <f t="shared" si="13"/>
        <v>386</v>
      </c>
      <c r="N276" s="2">
        <f t="shared" si="14"/>
        <v>11.571428571428571</v>
      </c>
    </row>
    <row r="277" spans="1:14" x14ac:dyDescent="0.25">
      <c r="A277" s="5" t="s">
        <v>118</v>
      </c>
      <c r="B277" s="5" t="s">
        <v>119</v>
      </c>
      <c r="C277" s="5" t="s">
        <v>16</v>
      </c>
      <c r="D277" s="5" t="s">
        <v>19</v>
      </c>
      <c r="E277" s="5">
        <v>39</v>
      </c>
      <c r="F277" s="5">
        <v>7839</v>
      </c>
      <c r="G277" s="5">
        <v>2565</v>
      </c>
      <c r="H277" s="5">
        <v>6</v>
      </c>
      <c r="I277" s="5">
        <v>63</v>
      </c>
      <c r="J277" s="5">
        <v>0</v>
      </c>
      <c r="K277" s="5">
        <v>4.5</v>
      </c>
      <c r="L277" s="6">
        <f t="shared" si="12"/>
        <v>0.32721010332950634</v>
      </c>
      <c r="M277" s="7">
        <f t="shared" si="13"/>
        <v>201</v>
      </c>
      <c r="N277" s="5">
        <f t="shared" si="14"/>
        <v>6.5</v>
      </c>
    </row>
    <row r="278" spans="1:14" x14ac:dyDescent="0.25">
      <c r="A278" s="2" t="s">
        <v>120</v>
      </c>
      <c r="B278" s="2" t="s">
        <v>119</v>
      </c>
      <c r="C278" s="2" t="s">
        <v>21</v>
      </c>
      <c r="D278" s="2" t="s">
        <v>17</v>
      </c>
      <c r="E278" s="2">
        <v>27</v>
      </c>
      <c r="F278" s="2">
        <v>6723</v>
      </c>
      <c r="G278" s="2">
        <v>1954</v>
      </c>
      <c r="H278" s="2">
        <v>5</v>
      </c>
      <c r="I278" s="2">
        <v>36</v>
      </c>
      <c r="J278" s="2">
        <v>0</v>
      </c>
      <c r="K278" s="2">
        <v>4.3</v>
      </c>
      <c r="L278" s="3">
        <f t="shared" si="12"/>
        <v>0.29064405771233082</v>
      </c>
      <c r="M278" s="4">
        <f t="shared" si="13"/>
        <v>249</v>
      </c>
      <c r="N278" s="2">
        <f t="shared" si="14"/>
        <v>5.4</v>
      </c>
    </row>
    <row r="279" spans="1:14" x14ac:dyDescent="0.25">
      <c r="A279" s="5" t="s">
        <v>120</v>
      </c>
      <c r="B279" s="5" t="s">
        <v>119</v>
      </c>
      <c r="C279" s="5" t="s">
        <v>21</v>
      </c>
      <c r="D279" s="5" t="s">
        <v>18</v>
      </c>
      <c r="E279" s="5">
        <v>47</v>
      </c>
      <c r="F279" s="5">
        <v>13254</v>
      </c>
      <c r="G279" s="5">
        <v>4835</v>
      </c>
      <c r="H279" s="5">
        <v>10</v>
      </c>
      <c r="I279" s="5">
        <v>45</v>
      </c>
      <c r="J279" s="5">
        <v>3</v>
      </c>
      <c r="K279" s="5">
        <v>3.7</v>
      </c>
      <c r="L279" s="6">
        <f t="shared" si="12"/>
        <v>0.36479553342387205</v>
      </c>
      <c r="M279" s="7">
        <f t="shared" si="13"/>
        <v>282</v>
      </c>
      <c r="N279" s="5">
        <f t="shared" si="14"/>
        <v>4.7</v>
      </c>
    </row>
    <row r="280" spans="1:14" x14ac:dyDescent="0.25">
      <c r="A280" s="2" t="s">
        <v>120</v>
      </c>
      <c r="B280" s="2" t="s">
        <v>119</v>
      </c>
      <c r="C280" s="2" t="s">
        <v>21</v>
      </c>
      <c r="D280" s="2" t="s">
        <v>19</v>
      </c>
      <c r="E280" s="2">
        <v>30</v>
      </c>
      <c r="F280" s="2">
        <v>8040</v>
      </c>
      <c r="G280" s="2">
        <v>2943</v>
      </c>
      <c r="H280" s="2">
        <v>7</v>
      </c>
      <c r="I280" s="2">
        <v>47</v>
      </c>
      <c r="J280" s="2">
        <v>0</v>
      </c>
      <c r="K280" s="2">
        <v>4.0999999999999996</v>
      </c>
      <c r="L280" s="3">
        <f t="shared" si="12"/>
        <v>0.366044776119403</v>
      </c>
      <c r="M280" s="4">
        <f t="shared" si="13"/>
        <v>268</v>
      </c>
      <c r="N280" s="2">
        <f t="shared" si="14"/>
        <v>4.2857142857142856</v>
      </c>
    </row>
    <row r="281" spans="1:14" x14ac:dyDescent="0.25">
      <c r="A281" s="5" t="s">
        <v>121</v>
      </c>
      <c r="B281" s="5" t="s">
        <v>119</v>
      </c>
      <c r="C281" s="5" t="s">
        <v>23</v>
      </c>
      <c r="D281" s="5" t="s">
        <v>17</v>
      </c>
      <c r="E281" s="5">
        <v>32</v>
      </c>
      <c r="F281" s="5">
        <v>8832</v>
      </c>
      <c r="G281" s="5">
        <v>2927</v>
      </c>
      <c r="H281" s="5">
        <v>4</v>
      </c>
      <c r="I281" s="5">
        <v>51</v>
      </c>
      <c r="J281" s="5">
        <v>0</v>
      </c>
      <c r="K281" s="5">
        <v>4.0999999999999996</v>
      </c>
      <c r="L281" s="6">
        <f t="shared" si="12"/>
        <v>0.3314085144927536</v>
      </c>
      <c r="M281" s="7">
        <f t="shared" si="13"/>
        <v>276</v>
      </c>
      <c r="N281" s="5">
        <f t="shared" si="14"/>
        <v>8</v>
      </c>
    </row>
    <row r="282" spans="1:14" x14ac:dyDescent="0.25">
      <c r="A282" s="2" t="s">
        <v>121</v>
      </c>
      <c r="B282" s="2" t="s">
        <v>119</v>
      </c>
      <c r="C282" s="2" t="s">
        <v>23</v>
      </c>
      <c r="D282" s="2" t="s">
        <v>18</v>
      </c>
      <c r="E282" s="2">
        <v>97</v>
      </c>
      <c r="F282" s="2">
        <v>43068</v>
      </c>
      <c r="G282" s="2">
        <v>14788</v>
      </c>
      <c r="H282" s="2">
        <v>9</v>
      </c>
      <c r="I282" s="2">
        <v>57</v>
      </c>
      <c r="J282" s="2">
        <v>0</v>
      </c>
      <c r="K282" s="2">
        <v>3.6</v>
      </c>
      <c r="L282" s="3">
        <f t="shared" si="12"/>
        <v>0.34336398253924028</v>
      </c>
      <c r="M282" s="4">
        <f t="shared" si="13"/>
        <v>444</v>
      </c>
      <c r="N282" s="2">
        <f t="shared" si="14"/>
        <v>10.777777777777779</v>
      </c>
    </row>
    <row r="283" spans="1:14" x14ac:dyDescent="0.25">
      <c r="A283" s="5" t="s">
        <v>121</v>
      </c>
      <c r="B283" s="5" t="s">
        <v>119</v>
      </c>
      <c r="C283" s="5" t="s">
        <v>23</v>
      </c>
      <c r="D283" s="5" t="s">
        <v>19</v>
      </c>
      <c r="E283" s="5">
        <v>37</v>
      </c>
      <c r="F283" s="5">
        <v>11137</v>
      </c>
      <c r="G283" s="5">
        <v>3666</v>
      </c>
      <c r="H283" s="5">
        <v>7</v>
      </c>
      <c r="I283" s="5">
        <v>49</v>
      </c>
      <c r="J283" s="5">
        <v>0</v>
      </c>
      <c r="K283" s="5">
        <v>4.4000000000000004</v>
      </c>
      <c r="L283" s="6">
        <f t="shared" si="12"/>
        <v>0.32917302684744543</v>
      </c>
      <c r="M283" s="7">
        <f t="shared" si="13"/>
        <v>301</v>
      </c>
      <c r="N283" s="5">
        <f t="shared" si="14"/>
        <v>5.2857142857142856</v>
      </c>
    </row>
    <row r="284" spans="1:14" x14ac:dyDescent="0.25">
      <c r="A284" s="2" t="s">
        <v>122</v>
      </c>
      <c r="B284" s="2" t="s">
        <v>119</v>
      </c>
      <c r="C284" s="2" t="s">
        <v>25</v>
      </c>
      <c r="D284" s="2" t="s">
        <v>17</v>
      </c>
      <c r="E284" s="2">
        <v>37</v>
      </c>
      <c r="F284" s="2">
        <v>8214</v>
      </c>
      <c r="G284" s="2">
        <v>2681</v>
      </c>
      <c r="H284" s="2">
        <v>5</v>
      </c>
      <c r="I284" s="2">
        <v>50</v>
      </c>
      <c r="J284" s="2">
        <v>2</v>
      </c>
      <c r="K284" s="2">
        <v>4.4000000000000004</v>
      </c>
      <c r="L284" s="3">
        <f t="shared" si="12"/>
        <v>0.32639396152909667</v>
      </c>
      <c r="M284" s="4">
        <f t="shared" si="13"/>
        <v>222</v>
      </c>
      <c r="N284" s="2">
        <f t="shared" si="14"/>
        <v>7.4</v>
      </c>
    </row>
    <row r="285" spans="1:14" x14ac:dyDescent="0.25">
      <c r="A285" s="5" t="s">
        <v>122</v>
      </c>
      <c r="B285" s="5" t="s">
        <v>119</v>
      </c>
      <c r="C285" s="5" t="s">
        <v>25</v>
      </c>
      <c r="D285" s="5" t="s">
        <v>18</v>
      </c>
      <c r="E285" s="5">
        <v>67</v>
      </c>
      <c r="F285" s="5">
        <v>28810</v>
      </c>
      <c r="G285" s="5">
        <v>11084</v>
      </c>
      <c r="H285" s="5">
        <v>8</v>
      </c>
      <c r="I285" s="5">
        <v>56</v>
      </c>
      <c r="J285" s="5">
        <v>0</v>
      </c>
      <c r="K285" s="5">
        <v>4.4000000000000004</v>
      </c>
      <c r="L285" s="6">
        <f t="shared" si="12"/>
        <v>0.3847275251648733</v>
      </c>
      <c r="M285" s="7">
        <f t="shared" si="13"/>
        <v>430</v>
      </c>
      <c r="N285" s="5">
        <f t="shared" si="14"/>
        <v>8.375</v>
      </c>
    </row>
    <row r="286" spans="1:14" x14ac:dyDescent="0.25">
      <c r="A286" s="2" t="s">
        <v>122</v>
      </c>
      <c r="B286" s="2" t="s">
        <v>119</v>
      </c>
      <c r="C286" s="2" t="s">
        <v>25</v>
      </c>
      <c r="D286" s="2" t="s">
        <v>19</v>
      </c>
      <c r="E286" s="2">
        <v>36</v>
      </c>
      <c r="F286" s="2">
        <v>8496</v>
      </c>
      <c r="G286" s="2">
        <v>3394</v>
      </c>
      <c r="H286" s="2">
        <v>4</v>
      </c>
      <c r="I286" s="2">
        <v>63</v>
      </c>
      <c r="J286" s="2">
        <v>3</v>
      </c>
      <c r="K286" s="2">
        <v>3.9</v>
      </c>
      <c r="L286" s="3">
        <f t="shared" si="12"/>
        <v>0.39948210922787192</v>
      </c>
      <c r="M286" s="4">
        <f t="shared" si="13"/>
        <v>236</v>
      </c>
      <c r="N286" s="2">
        <f t="shared" si="14"/>
        <v>9</v>
      </c>
    </row>
    <row r="287" spans="1:14" x14ac:dyDescent="0.25">
      <c r="A287" s="5" t="s">
        <v>123</v>
      </c>
      <c r="B287" s="5" t="s">
        <v>119</v>
      </c>
      <c r="C287" s="5" t="s">
        <v>27</v>
      </c>
      <c r="D287" s="5" t="s">
        <v>17</v>
      </c>
      <c r="E287" s="5">
        <v>56</v>
      </c>
      <c r="F287" s="5">
        <v>15232</v>
      </c>
      <c r="G287" s="5">
        <v>6246</v>
      </c>
      <c r="H287" s="5">
        <v>3</v>
      </c>
      <c r="I287" s="5">
        <v>37</v>
      </c>
      <c r="J287" s="5">
        <v>0</v>
      </c>
      <c r="K287" s="5">
        <v>3.9</v>
      </c>
      <c r="L287" s="6">
        <f t="shared" si="12"/>
        <v>0.41005777310924368</v>
      </c>
      <c r="M287" s="7">
        <f t="shared" si="13"/>
        <v>272</v>
      </c>
      <c r="N287" s="5">
        <f t="shared" si="14"/>
        <v>18.666666666666668</v>
      </c>
    </row>
    <row r="288" spans="1:14" x14ac:dyDescent="0.25">
      <c r="A288" s="2" t="s">
        <v>123</v>
      </c>
      <c r="B288" s="2" t="s">
        <v>119</v>
      </c>
      <c r="C288" s="2" t="s">
        <v>27</v>
      </c>
      <c r="D288" s="2" t="s">
        <v>18</v>
      </c>
      <c r="E288" s="2">
        <v>165</v>
      </c>
      <c r="F288" s="2">
        <v>74910</v>
      </c>
      <c r="G288" s="2">
        <v>25117</v>
      </c>
      <c r="H288" s="2">
        <v>8</v>
      </c>
      <c r="I288" s="2">
        <v>60</v>
      </c>
      <c r="J288" s="2">
        <v>2</v>
      </c>
      <c r="K288" s="2">
        <v>4.5999999999999996</v>
      </c>
      <c r="L288" s="3">
        <f t="shared" si="12"/>
        <v>0.33529568815912431</v>
      </c>
      <c r="M288" s="4">
        <f t="shared" si="13"/>
        <v>454</v>
      </c>
      <c r="N288" s="2">
        <f t="shared" si="14"/>
        <v>20.625</v>
      </c>
    </row>
    <row r="289" spans="1:14" x14ac:dyDescent="0.25">
      <c r="A289" s="5" t="s">
        <v>123</v>
      </c>
      <c r="B289" s="5" t="s">
        <v>119</v>
      </c>
      <c r="C289" s="5" t="s">
        <v>27</v>
      </c>
      <c r="D289" s="5" t="s">
        <v>19</v>
      </c>
      <c r="E289" s="5">
        <v>75</v>
      </c>
      <c r="F289" s="5">
        <v>25800</v>
      </c>
      <c r="G289" s="5">
        <v>10194</v>
      </c>
      <c r="H289" s="5">
        <v>4</v>
      </c>
      <c r="I289" s="5">
        <v>40</v>
      </c>
      <c r="J289" s="5">
        <v>0</v>
      </c>
      <c r="K289" s="5">
        <v>4.0999999999999996</v>
      </c>
      <c r="L289" s="6">
        <f t="shared" si="12"/>
        <v>0.39511627906976743</v>
      </c>
      <c r="M289" s="7">
        <f t="shared" si="13"/>
        <v>344</v>
      </c>
      <c r="N289" s="5">
        <f t="shared" si="14"/>
        <v>18.75</v>
      </c>
    </row>
    <row r="290" spans="1:14" x14ac:dyDescent="0.25">
      <c r="A290" s="2" t="s">
        <v>124</v>
      </c>
      <c r="B290" s="2" t="s">
        <v>119</v>
      </c>
      <c r="C290" s="2" t="s">
        <v>29</v>
      </c>
      <c r="D290" s="2" t="s">
        <v>17</v>
      </c>
      <c r="E290" s="2">
        <v>35</v>
      </c>
      <c r="F290" s="2">
        <v>9030</v>
      </c>
      <c r="G290" s="2">
        <v>2797</v>
      </c>
      <c r="H290" s="2">
        <v>5</v>
      </c>
      <c r="I290" s="2">
        <v>39</v>
      </c>
      <c r="J290" s="2">
        <v>1</v>
      </c>
      <c r="K290" s="2">
        <v>4.0999999999999996</v>
      </c>
      <c r="L290" s="3">
        <f t="shared" si="12"/>
        <v>0.3097452934662237</v>
      </c>
      <c r="M290" s="4">
        <f t="shared" si="13"/>
        <v>258</v>
      </c>
      <c r="N290" s="2">
        <f t="shared" si="14"/>
        <v>7</v>
      </c>
    </row>
    <row r="291" spans="1:14" x14ac:dyDescent="0.25">
      <c r="A291" s="5" t="s">
        <v>124</v>
      </c>
      <c r="B291" s="5" t="s">
        <v>119</v>
      </c>
      <c r="C291" s="5" t="s">
        <v>29</v>
      </c>
      <c r="D291" s="5" t="s">
        <v>18</v>
      </c>
      <c r="E291" s="5">
        <v>103</v>
      </c>
      <c r="F291" s="5">
        <v>30076</v>
      </c>
      <c r="G291" s="5">
        <v>9945</v>
      </c>
      <c r="H291" s="5">
        <v>8</v>
      </c>
      <c r="I291" s="5">
        <v>57</v>
      </c>
      <c r="J291" s="5">
        <v>0</v>
      </c>
      <c r="K291" s="5">
        <v>4.2</v>
      </c>
      <c r="L291" s="6">
        <f t="shared" si="12"/>
        <v>0.33066232211730284</v>
      </c>
      <c r="M291" s="7">
        <f t="shared" si="13"/>
        <v>292</v>
      </c>
      <c r="N291" s="5">
        <f t="shared" si="14"/>
        <v>12.875</v>
      </c>
    </row>
    <row r="292" spans="1:14" x14ac:dyDescent="0.25">
      <c r="A292" s="2" t="s">
        <v>124</v>
      </c>
      <c r="B292" s="2" t="s">
        <v>119</v>
      </c>
      <c r="C292" s="2" t="s">
        <v>29</v>
      </c>
      <c r="D292" s="2" t="s">
        <v>19</v>
      </c>
      <c r="E292" s="2">
        <v>99</v>
      </c>
      <c r="F292" s="2">
        <v>25146</v>
      </c>
      <c r="G292" s="2">
        <v>7314</v>
      </c>
      <c r="H292" s="2">
        <v>7</v>
      </c>
      <c r="I292" s="2">
        <v>56</v>
      </c>
      <c r="J292" s="2">
        <v>1</v>
      </c>
      <c r="K292" s="2">
        <v>4.3</v>
      </c>
      <c r="L292" s="3">
        <f t="shared" si="12"/>
        <v>0.29086136960152709</v>
      </c>
      <c r="M292" s="4">
        <f t="shared" si="13"/>
        <v>254</v>
      </c>
      <c r="N292" s="2">
        <f t="shared" si="14"/>
        <v>14.142857142857142</v>
      </c>
    </row>
    <row r="293" spans="1:14" x14ac:dyDescent="0.25">
      <c r="A293" s="5" t="s">
        <v>125</v>
      </c>
      <c r="B293" s="5" t="s">
        <v>119</v>
      </c>
      <c r="C293" s="5" t="s">
        <v>31</v>
      </c>
      <c r="D293" s="5" t="s">
        <v>17</v>
      </c>
      <c r="E293" s="5">
        <v>32</v>
      </c>
      <c r="F293" s="5">
        <v>7360</v>
      </c>
      <c r="G293" s="5">
        <v>2974</v>
      </c>
      <c r="H293" s="5">
        <v>4</v>
      </c>
      <c r="I293" s="5">
        <v>35</v>
      </c>
      <c r="J293" s="5">
        <v>2</v>
      </c>
      <c r="K293" s="5">
        <v>4.2</v>
      </c>
      <c r="L293" s="6">
        <f t="shared" si="12"/>
        <v>0.40407608695652175</v>
      </c>
      <c r="M293" s="7">
        <f t="shared" si="13"/>
        <v>230</v>
      </c>
      <c r="N293" s="5">
        <f t="shared" si="14"/>
        <v>8</v>
      </c>
    </row>
    <row r="294" spans="1:14" x14ac:dyDescent="0.25">
      <c r="A294" s="2" t="s">
        <v>125</v>
      </c>
      <c r="B294" s="2" t="s">
        <v>119</v>
      </c>
      <c r="C294" s="2" t="s">
        <v>31</v>
      </c>
      <c r="D294" s="2" t="s">
        <v>18</v>
      </c>
      <c r="E294" s="2">
        <v>107</v>
      </c>
      <c r="F294" s="2">
        <v>35417</v>
      </c>
      <c r="G294" s="2">
        <v>11261</v>
      </c>
      <c r="H294" s="2">
        <v>8</v>
      </c>
      <c r="I294" s="2">
        <v>50</v>
      </c>
      <c r="J294" s="2">
        <v>4</v>
      </c>
      <c r="K294" s="2">
        <v>4.5</v>
      </c>
      <c r="L294" s="3">
        <f t="shared" si="12"/>
        <v>0.31795465454442784</v>
      </c>
      <c r="M294" s="4">
        <f t="shared" si="13"/>
        <v>331</v>
      </c>
      <c r="N294" s="2">
        <f t="shared" si="14"/>
        <v>13.375</v>
      </c>
    </row>
    <row r="295" spans="1:14" x14ac:dyDescent="0.25">
      <c r="A295" s="5" t="s">
        <v>125</v>
      </c>
      <c r="B295" s="5" t="s">
        <v>119</v>
      </c>
      <c r="C295" s="5" t="s">
        <v>31</v>
      </c>
      <c r="D295" s="5" t="s">
        <v>19</v>
      </c>
      <c r="E295" s="5">
        <v>52</v>
      </c>
      <c r="F295" s="5">
        <v>15756</v>
      </c>
      <c r="G295" s="5">
        <v>5628</v>
      </c>
      <c r="H295" s="5">
        <v>7</v>
      </c>
      <c r="I295" s="5">
        <v>57</v>
      </c>
      <c r="J295" s="5">
        <v>2</v>
      </c>
      <c r="K295" s="5">
        <v>4</v>
      </c>
      <c r="L295" s="6">
        <f t="shared" si="12"/>
        <v>0.3571972581873572</v>
      </c>
      <c r="M295" s="7">
        <f t="shared" si="13"/>
        <v>303</v>
      </c>
      <c r="N295" s="5">
        <f t="shared" si="14"/>
        <v>7.4285714285714288</v>
      </c>
    </row>
    <row r="296" spans="1:14" x14ac:dyDescent="0.25">
      <c r="A296" s="2" t="s">
        <v>126</v>
      </c>
      <c r="B296" s="2" t="s">
        <v>119</v>
      </c>
      <c r="C296" s="2" t="s">
        <v>16</v>
      </c>
      <c r="D296" s="2" t="s">
        <v>17</v>
      </c>
      <c r="E296" s="2">
        <v>20</v>
      </c>
      <c r="F296" s="2">
        <v>4860</v>
      </c>
      <c r="G296" s="2">
        <v>1494</v>
      </c>
      <c r="H296" s="2">
        <v>3</v>
      </c>
      <c r="I296" s="2">
        <v>37</v>
      </c>
      <c r="J296" s="2">
        <v>1</v>
      </c>
      <c r="K296" s="2">
        <v>4.2</v>
      </c>
      <c r="L296" s="3">
        <f t="shared" si="12"/>
        <v>0.30740740740740741</v>
      </c>
      <c r="M296" s="4">
        <f t="shared" si="13"/>
        <v>243</v>
      </c>
      <c r="N296" s="2">
        <f t="shared" si="14"/>
        <v>6.666666666666667</v>
      </c>
    </row>
    <row r="297" spans="1:14" x14ac:dyDescent="0.25">
      <c r="A297" s="5" t="s">
        <v>126</v>
      </c>
      <c r="B297" s="5" t="s">
        <v>119</v>
      </c>
      <c r="C297" s="5" t="s">
        <v>16</v>
      </c>
      <c r="D297" s="5" t="s">
        <v>18</v>
      </c>
      <c r="E297" s="5">
        <v>103</v>
      </c>
      <c r="F297" s="5">
        <v>31106</v>
      </c>
      <c r="G297" s="5">
        <v>9556</v>
      </c>
      <c r="H297" s="5">
        <v>7</v>
      </c>
      <c r="I297" s="5">
        <v>75</v>
      </c>
      <c r="J297" s="5">
        <v>3</v>
      </c>
      <c r="K297" s="5">
        <v>3.6</v>
      </c>
      <c r="L297" s="6">
        <f t="shared" si="12"/>
        <v>0.30720761267922586</v>
      </c>
      <c r="M297" s="7">
        <f t="shared" si="13"/>
        <v>302</v>
      </c>
      <c r="N297" s="5">
        <f t="shared" si="14"/>
        <v>14.714285714285714</v>
      </c>
    </row>
    <row r="298" spans="1:14" x14ac:dyDescent="0.25">
      <c r="A298" s="2" t="s">
        <v>126</v>
      </c>
      <c r="B298" s="2" t="s">
        <v>119</v>
      </c>
      <c r="C298" s="2" t="s">
        <v>16</v>
      </c>
      <c r="D298" s="2" t="s">
        <v>19</v>
      </c>
      <c r="E298" s="2">
        <v>31</v>
      </c>
      <c r="F298" s="2">
        <v>7595</v>
      </c>
      <c r="G298" s="2">
        <v>2148</v>
      </c>
      <c r="H298" s="2">
        <v>7</v>
      </c>
      <c r="I298" s="2">
        <v>50</v>
      </c>
      <c r="J298" s="2">
        <v>0</v>
      </c>
      <c r="K298" s="2">
        <v>4.5</v>
      </c>
      <c r="L298" s="3">
        <f t="shared" si="12"/>
        <v>0.28281764318630676</v>
      </c>
      <c r="M298" s="4">
        <f t="shared" si="13"/>
        <v>245</v>
      </c>
      <c r="N298" s="2">
        <f t="shared" si="14"/>
        <v>4.4285714285714288</v>
      </c>
    </row>
    <row r="299" spans="1:14" x14ac:dyDescent="0.25">
      <c r="A299" s="5" t="s">
        <v>127</v>
      </c>
      <c r="B299" s="5" t="s">
        <v>119</v>
      </c>
      <c r="C299" s="5" t="s">
        <v>21</v>
      </c>
      <c r="D299" s="5" t="s">
        <v>17</v>
      </c>
      <c r="E299" s="5">
        <v>15</v>
      </c>
      <c r="F299" s="5">
        <v>3855</v>
      </c>
      <c r="G299" s="5">
        <v>1409</v>
      </c>
      <c r="H299" s="5">
        <v>4</v>
      </c>
      <c r="I299" s="5">
        <v>42</v>
      </c>
      <c r="J299" s="5">
        <v>1</v>
      </c>
      <c r="K299" s="5">
        <v>3.8</v>
      </c>
      <c r="L299" s="6">
        <f t="shared" si="12"/>
        <v>0.36549935149156937</v>
      </c>
      <c r="M299" s="7">
        <f t="shared" si="13"/>
        <v>257</v>
      </c>
      <c r="N299" s="5">
        <f t="shared" si="14"/>
        <v>3.75</v>
      </c>
    </row>
    <row r="300" spans="1:14" x14ac:dyDescent="0.25">
      <c r="A300" s="2" t="s">
        <v>127</v>
      </c>
      <c r="B300" s="2" t="s">
        <v>119</v>
      </c>
      <c r="C300" s="2" t="s">
        <v>21</v>
      </c>
      <c r="D300" s="2" t="s">
        <v>18</v>
      </c>
      <c r="E300" s="2">
        <v>62</v>
      </c>
      <c r="F300" s="2">
        <v>17794</v>
      </c>
      <c r="G300" s="2">
        <v>7218</v>
      </c>
      <c r="H300" s="2">
        <v>7</v>
      </c>
      <c r="I300" s="2">
        <v>66</v>
      </c>
      <c r="J300" s="2">
        <v>3</v>
      </c>
      <c r="K300" s="2">
        <v>4.5999999999999996</v>
      </c>
      <c r="L300" s="3">
        <f t="shared" si="12"/>
        <v>0.40564235135438914</v>
      </c>
      <c r="M300" s="4">
        <f t="shared" si="13"/>
        <v>287</v>
      </c>
      <c r="N300" s="2">
        <f t="shared" si="14"/>
        <v>8.8571428571428577</v>
      </c>
    </row>
    <row r="301" spans="1:14" x14ac:dyDescent="0.25">
      <c r="A301" s="5" t="s">
        <v>127</v>
      </c>
      <c r="B301" s="5" t="s">
        <v>119</v>
      </c>
      <c r="C301" s="5" t="s">
        <v>21</v>
      </c>
      <c r="D301" s="5" t="s">
        <v>19</v>
      </c>
      <c r="E301" s="5">
        <v>37</v>
      </c>
      <c r="F301" s="5">
        <v>10693</v>
      </c>
      <c r="G301" s="5">
        <v>3713</v>
      </c>
      <c r="H301" s="5">
        <v>7</v>
      </c>
      <c r="I301" s="5">
        <v>50</v>
      </c>
      <c r="J301" s="5">
        <v>0</v>
      </c>
      <c r="K301" s="5">
        <v>4.3</v>
      </c>
      <c r="L301" s="6">
        <f t="shared" si="12"/>
        <v>0.34723650986626764</v>
      </c>
      <c r="M301" s="7">
        <f t="shared" si="13"/>
        <v>289</v>
      </c>
      <c r="N301" s="5">
        <f t="shared" si="14"/>
        <v>5.2857142857142856</v>
      </c>
    </row>
    <row r="302" spans="1:14" x14ac:dyDescent="0.25">
      <c r="A302" s="2" t="s">
        <v>128</v>
      </c>
      <c r="B302" s="2" t="s">
        <v>119</v>
      </c>
      <c r="C302" s="2" t="s">
        <v>23</v>
      </c>
      <c r="D302" s="2" t="s">
        <v>17</v>
      </c>
      <c r="E302" s="2">
        <v>47</v>
      </c>
      <c r="F302" s="2">
        <v>13160</v>
      </c>
      <c r="G302" s="2">
        <v>5201</v>
      </c>
      <c r="H302" s="2">
        <v>4</v>
      </c>
      <c r="I302" s="2">
        <v>49</v>
      </c>
      <c r="J302" s="2">
        <v>0</v>
      </c>
      <c r="K302" s="2">
        <v>3.8</v>
      </c>
      <c r="L302" s="3">
        <f t="shared" si="12"/>
        <v>0.39521276595744681</v>
      </c>
      <c r="M302" s="4">
        <f t="shared" si="13"/>
        <v>280</v>
      </c>
      <c r="N302" s="2">
        <f t="shared" si="14"/>
        <v>11.75</v>
      </c>
    </row>
    <row r="303" spans="1:14" x14ac:dyDescent="0.25">
      <c r="A303" s="5" t="s">
        <v>128</v>
      </c>
      <c r="B303" s="5" t="s">
        <v>119</v>
      </c>
      <c r="C303" s="5" t="s">
        <v>23</v>
      </c>
      <c r="D303" s="5" t="s">
        <v>18</v>
      </c>
      <c r="E303" s="5">
        <v>66</v>
      </c>
      <c r="F303" s="5">
        <v>20724</v>
      </c>
      <c r="G303" s="5">
        <v>6397</v>
      </c>
      <c r="H303" s="5">
        <v>9</v>
      </c>
      <c r="I303" s="5">
        <v>62</v>
      </c>
      <c r="J303" s="5">
        <v>4</v>
      </c>
      <c r="K303" s="5">
        <v>4.5</v>
      </c>
      <c r="L303" s="6">
        <f t="shared" si="12"/>
        <v>0.30867593128739623</v>
      </c>
      <c r="M303" s="7">
        <f t="shared" si="13"/>
        <v>314</v>
      </c>
      <c r="N303" s="5">
        <f t="shared" si="14"/>
        <v>7.333333333333333</v>
      </c>
    </row>
    <row r="304" spans="1:14" x14ac:dyDescent="0.25">
      <c r="A304" s="2" t="s">
        <v>128</v>
      </c>
      <c r="B304" s="2" t="s">
        <v>119</v>
      </c>
      <c r="C304" s="2" t="s">
        <v>23</v>
      </c>
      <c r="D304" s="2" t="s">
        <v>19</v>
      </c>
      <c r="E304" s="2">
        <v>39</v>
      </c>
      <c r="F304" s="2">
        <v>12597</v>
      </c>
      <c r="G304" s="2">
        <v>4566</v>
      </c>
      <c r="H304" s="2">
        <v>4</v>
      </c>
      <c r="I304" s="2">
        <v>49</v>
      </c>
      <c r="J304" s="2">
        <v>0</v>
      </c>
      <c r="K304" s="2">
        <v>3.9</v>
      </c>
      <c r="L304" s="3">
        <f t="shared" si="12"/>
        <v>0.36246725410812097</v>
      </c>
      <c r="M304" s="4">
        <f t="shared" si="13"/>
        <v>323</v>
      </c>
      <c r="N304" s="2">
        <f t="shared" si="14"/>
        <v>9.75</v>
      </c>
    </row>
    <row r="305" spans="1:14" x14ac:dyDescent="0.25">
      <c r="A305" s="5" t="s">
        <v>129</v>
      </c>
      <c r="B305" s="5" t="s">
        <v>119</v>
      </c>
      <c r="C305" s="5" t="s">
        <v>25</v>
      </c>
      <c r="D305" s="5" t="s">
        <v>17</v>
      </c>
      <c r="E305" s="5">
        <v>20</v>
      </c>
      <c r="F305" s="5">
        <v>5460</v>
      </c>
      <c r="G305" s="5">
        <v>2085</v>
      </c>
      <c r="H305" s="5">
        <v>3</v>
      </c>
      <c r="I305" s="5">
        <v>44</v>
      </c>
      <c r="J305" s="5">
        <v>2</v>
      </c>
      <c r="K305" s="5">
        <v>4.2</v>
      </c>
      <c r="L305" s="6">
        <f t="shared" si="12"/>
        <v>0.38186813186813184</v>
      </c>
      <c r="M305" s="7">
        <f t="shared" si="13"/>
        <v>273</v>
      </c>
      <c r="N305" s="5">
        <f t="shared" si="14"/>
        <v>6.666666666666667</v>
      </c>
    </row>
    <row r="306" spans="1:14" x14ac:dyDescent="0.25">
      <c r="A306" s="2" t="s">
        <v>129</v>
      </c>
      <c r="B306" s="2" t="s">
        <v>119</v>
      </c>
      <c r="C306" s="2" t="s">
        <v>25</v>
      </c>
      <c r="D306" s="2" t="s">
        <v>18</v>
      </c>
      <c r="E306" s="2">
        <v>96</v>
      </c>
      <c r="F306" s="2">
        <v>44256</v>
      </c>
      <c r="G306" s="2">
        <v>12953</v>
      </c>
      <c r="H306" s="2">
        <v>8</v>
      </c>
      <c r="I306" s="2">
        <v>66</v>
      </c>
      <c r="J306" s="2">
        <v>3</v>
      </c>
      <c r="K306" s="2">
        <v>4.2</v>
      </c>
      <c r="L306" s="3">
        <f t="shared" si="12"/>
        <v>0.29268347794649313</v>
      </c>
      <c r="M306" s="4">
        <f t="shared" si="13"/>
        <v>461</v>
      </c>
      <c r="N306" s="2">
        <f t="shared" si="14"/>
        <v>12</v>
      </c>
    </row>
    <row r="307" spans="1:14" x14ac:dyDescent="0.25">
      <c r="A307" s="5" t="s">
        <v>129</v>
      </c>
      <c r="B307" s="5" t="s">
        <v>119</v>
      </c>
      <c r="C307" s="5" t="s">
        <v>25</v>
      </c>
      <c r="D307" s="5" t="s">
        <v>19</v>
      </c>
      <c r="E307" s="5">
        <v>33</v>
      </c>
      <c r="F307" s="5">
        <v>9372</v>
      </c>
      <c r="G307" s="5">
        <v>3762</v>
      </c>
      <c r="H307" s="5">
        <v>4</v>
      </c>
      <c r="I307" s="5">
        <v>56</v>
      </c>
      <c r="J307" s="5">
        <v>2</v>
      </c>
      <c r="K307" s="5">
        <v>4.3</v>
      </c>
      <c r="L307" s="6">
        <f t="shared" si="12"/>
        <v>0.40140845070422537</v>
      </c>
      <c r="M307" s="7">
        <f t="shared" si="13"/>
        <v>284</v>
      </c>
      <c r="N307" s="5">
        <f t="shared" si="14"/>
        <v>8.25</v>
      </c>
    </row>
    <row r="308" spans="1:14" x14ac:dyDescent="0.25">
      <c r="A308" s="2" t="s">
        <v>130</v>
      </c>
      <c r="B308" s="2" t="s">
        <v>119</v>
      </c>
      <c r="C308" s="2" t="s">
        <v>27</v>
      </c>
      <c r="D308" s="2" t="s">
        <v>17</v>
      </c>
      <c r="E308" s="2">
        <v>32</v>
      </c>
      <c r="F308" s="2">
        <v>5792</v>
      </c>
      <c r="G308" s="2">
        <v>2208</v>
      </c>
      <c r="H308" s="2">
        <v>3</v>
      </c>
      <c r="I308" s="2">
        <v>52</v>
      </c>
      <c r="J308" s="2">
        <v>1</v>
      </c>
      <c r="K308" s="2">
        <v>4.0999999999999996</v>
      </c>
      <c r="L308" s="3">
        <f t="shared" si="12"/>
        <v>0.38121546961325969</v>
      </c>
      <c r="M308" s="4">
        <f t="shared" si="13"/>
        <v>181</v>
      </c>
      <c r="N308" s="2">
        <f t="shared" si="14"/>
        <v>10.666666666666666</v>
      </c>
    </row>
    <row r="309" spans="1:14" x14ac:dyDescent="0.25">
      <c r="A309" s="5" t="s">
        <v>130</v>
      </c>
      <c r="B309" s="5" t="s">
        <v>119</v>
      </c>
      <c r="C309" s="5" t="s">
        <v>27</v>
      </c>
      <c r="D309" s="5" t="s">
        <v>18</v>
      </c>
      <c r="E309" s="5">
        <v>80</v>
      </c>
      <c r="F309" s="5">
        <v>37280</v>
      </c>
      <c r="G309" s="5">
        <v>15001</v>
      </c>
      <c r="H309" s="5">
        <v>9</v>
      </c>
      <c r="I309" s="5">
        <v>65</v>
      </c>
      <c r="J309" s="5">
        <v>3</v>
      </c>
      <c r="K309" s="5">
        <v>3.6</v>
      </c>
      <c r="L309" s="6">
        <f t="shared" si="12"/>
        <v>0.40238733905579399</v>
      </c>
      <c r="M309" s="7">
        <f t="shared" si="13"/>
        <v>466</v>
      </c>
      <c r="N309" s="5">
        <f t="shared" si="14"/>
        <v>8.8888888888888893</v>
      </c>
    </row>
    <row r="310" spans="1:14" x14ac:dyDescent="0.25">
      <c r="A310" s="2" t="s">
        <v>130</v>
      </c>
      <c r="B310" s="2" t="s">
        <v>119</v>
      </c>
      <c r="C310" s="2" t="s">
        <v>27</v>
      </c>
      <c r="D310" s="2" t="s">
        <v>19</v>
      </c>
      <c r="E310" s="2">
        <v>78</v>
      </c>
      <c r="F310" s="2">
        <v>25740</v>
      </c>
      <c r="G310" s="2">
        <v>10230</v>
      </c>
      <c r="H310" s="2">
        <v>5</v>
      </c>
      <c r="I310" s="2">
        <v>57</v>
      </c>
      <c r="J310" s="2">
        <v>0</v>
      </c>
      <c r="K310" s="2">
        <v>4.5</v>
      </c>
      <c r="L310" s="3">
        <f t="shared" si="12"/>
        <v>0.39743589743589741</v>
      </c>
      <c r="M310" s="4">
        <f t="shared" si="13"/>
        <v>330</v>
      </c>
      <c r="N310" s="2">
        <f t="shared" si="14"/>
        <v>15.6</v>
      </c>
    </row>
    <row r="311" spans="1:14" x14ac:dyDescent="0.25">
      <c r="A311" s="5" t="s">
        <v>131</v>
      </c>
      <c r="B311" s="5" t="s">
        <v>119</v>
      </c>
      <c r="C311" s="5" t="s">
        <v>29</v>
      </c>
      <c r="D311" s="5" t="s">
        <v>17</v>
      </c>
      <c r="E311" s="5">
        <v>67</v>
      </c>
      <c r="F311" s="5">
        <v>17152</v>
      </c>
      <c r="G311" s="5">
        <v>6308</v>
      </c>
      <c r="H311" s="5">
        <v>5</v>
      </c>
      <c r="I311" s="5">
        <v>43</v>
      </c>
      <c r="J311" s="5">
        <v>2</v>
      </c>
      <c r="K311" s="5">
        <v>4.2</v>
      </c>
      <c r="L311" s="6">
        <f t="shared" si="12"/>
        <v>0.36777052238805968</v>
      </c>
      <c r="M311" s="7">
        <f t="shared" si="13"/>
        <v>256</v>
      </c>
      <c r="N311" s="5">
        <f t="shared" si="14"/>
        <v>13.4</v>
      </c>
    </row>
    <row r="312" spans="1:14" x14ac:dyDescent="0.25">
      <c r="A312" s="2" t="s">
        <v>131</v>
      </c>
      <c r="B312" s="2" t="s">
        <v>119</v>
      </c>
      <c r="C312" s="2" t="s">
        <v>29</v>
      </c>
      <c r="D312" s="2" t="s">
        <v>18</v>
      </c>
      <c r="E312" s="2">
        <v>103</v>
      </c>
      <c r="F312" s="2">
        <v>33372</v>
      </c>
      <c r="G312" s="2">
        <v>13507</v>
      </c>
      <c r="H312" s="2">
        <v>10</v>
      </c>
      <c r="I312" s="2">
        <v>71</v>
      </c>
      <c r="J312" s="2">
        <v>0</v>
      </c>
      <c r="K312" s="2">
        <v>3.7</v>
      </c>
      <c r="L312" s="3">
        <f t="shared" si="12"/>
        <v>0.40474050101881814</v>
      </c>
      <c r="M312" s="4">
        <f t="shared" si="13"/>
        <v>324</v>
      </c>
      <c r="N312" s="2">
        <f t="shared" si="14"/>
        <v>10.3</v>
      </c>
    </row>
    <row r="313" spans="1:14" x14ac:dyDescent="0.25">
      <c r="A313" s="5" t="s">
        <v>131</v>
      </c>
      <c r="B313" s="5" t="s">
        <v>119</v>
      </c>
      <c r="C313" s="5" t="s">
        <v>29</v>
      </c>
      <c r="D313" s="5" t="s">
        <v>19</v>
      </c>
      <c r="E313" s="5">
        <v>109</v>
      </c>
      <c r="F313" s="5">
        <v>33899</v>
      </c>
      <c r="G313" s="5">
        <v>12576</v>
      </c>
      <c r="H313" s="5">
        <v>5</v>
      </c>
      <c r="I313" s="5">
        <v>41</v>
      </c>
      <c r="J313" s="5">
        <v>0</v>
      </c>
      <c r="K313" s="5">
        <v>3.6</v>
      </c>
      <c r="L313" s="6">
        <f t="shared" si="12"/>
        <v>0.37098439481990619</v>
      </c>
      <c r="M313" s="7">
        <f t="shared" si="13"/>
        <v>311</v>
      </c>
      <c r="N313" s="5">
        <f t="shared" si="14"/>
        <v>21.8</v>
      </c>
    </row>
    <row r="314" spans="1:14" x14ac:dyDescent="0.25">
      <c r="A314" s="2" t="s">
        <v>132</v>
      </c>
      <c r="B314" s="2" t="s">
        <v>119</v>
      </c>
      <c r="C314" s="2" t="s">
        <v>31</v>
      </c>
      <c r="D314" s="2" t="s">
        <v>17</v>
      </c>
      <c r="E314" s="2">
        <v>26</v>
      </c>
      <c r="F314" s="2">
        <v>7020</v>
      </c>
      <c r="G314" s="2">
        <v>2323</v>
      </c>
      <c r="H314" s="2">
        <v>4</v>
      </c>
      <c r="I314" s="2">
        <v>55</v>
      </c>
      <c r="J314" s="2">
        <v>2</v>
      </c>
      <c r="K314" s="2">
        <v>4.2</v>
      </c>
      <c r="L314" s="3">
        <f t="shared" si="12"/>
        <v>0.33091168091168094</v>
      </c>
      <c r="M314" s="4">
        <f t="shared" si="13"/>
        <v>270</v>
      </c>
      <c r="N314" s="2">
        <f t="shared" si="14"/>
        <v>6.5</v>
      </c>
    </row>
    <row r="315" spans="1:14" x14ac:dyDescent="0.25">
      <c r="A315" s="5" t="s">
        <v>132</v>
      </c>
      <c r="B315" s="5" t="s">
        <v>119</v>
      </c>
      <c r="C315" s="5" t="s">
        <v>31</v>
      </c>
      <c r="D315" s="5" t="s">
        <v>18</v>
      </c>
      <c r="E315" s="5">
        <v>182</v>
      </c>
      <c r="F315" s="5">
        <v>61880</v>
      </c>
      <c r="G315" s="5">
        <v>23069</v>
      </c>
      <c r="H315" s="5">
        <v>6</v>
      </c>
      <c r="I315" s="5">
        <v>63</v>
      </c>
      <c r="J315" s="5">
        <v>0</v>
      </c>
      <c r="K315" s="5">
        <v>3.9</v>
      </c>
      <c r="L315" s="6">
        <f t="shared" si="12"/>
        <v>0.37280219780219781</v>
      </c>
      <c r="M315" s="7">
        <f t="shared" si="13"/>
        <v>340</v>
      </c>
      <c r="N315" s="5">
        <f t="shared" si="14"/>
        <v>30.333333333333332</v>
      </c>
    </row>
    <row r="316" spans="1:14" x14ac:dyDescent="0.25">
      <c r="A316" s="2" t="s">
        <v>132</v>
      </c>
      <c r="B316" s="2" t="s">
        <v>119</v>
      </c>
      <c r="C316" s="2" t="s">
        <v>31</v>
      </c>
      <c r="D316" s="2" t="s">
        <v>19</v>
      </c>
      <c r="E316" s="2">
        <v>68</v>
      </c>
      <c r="F316" s="2">
        <v>16796</v>
      </c>
      <c r="G316" s="2">
        <v>6422</v>
      </c>
      <c r="H316" s="2">
        <v>7</v>
      </c>
      <c r="I316" s="2">
        <v>50</v>
      </c>
      <c r="J316" s="2">
        <v>0</v>
      </c>
      <c r="K316" s="2">
        <v>4.2</v>
      </c>
      <c r="L316" s="3">
        <f t="shared" si="12"/>
        <v>0.38235294117647056</v>
      </c>
      <c r="M316" s="4">
        <f t="shared" si="13"/>
        <v>247</v>
      </c>
      <c r="N316" s="2">
        <f t="shared" si="14"/>
        <v>9.7142857142857135</v>
      </c>
    </row>
    <row r="317" spans="1:14" x14ac:dyDescent="0.25">
      <c r="A317" s="5" t="s">
        <v>133</v>
      </c>
      <c r="B317" s="5" t="s">
        <v>119</v>
      </c>
      <c r="C317" s="5" t="s">
        <v>16</v>
      </c>
      <c r="D317" s="5" t="s">
        <v>17</v>
      </c>
      <c r="E317" s="5">
        <v>30</v>
      </c>
      <c r="F317" s="5">
        <v>7170</v>
      </c>
      <c r="G317" s="5">
        <v>2560</v>
      </c>
      <c r="H317" s="5">
        <v>4</v>
      </c>
      <c r="I317" s="5">
        <v>53</v>
      </c>
      <c r="J317" s="5">
        <v>0</v>
      </c>
      <c r="K317" s="5">
        <v>4</v>
      </c>
      <c r="L317" s="6">
        <f t="shared" si="12"/>
        <v>0.35704323570432356</v>
      </c>
      <c r="M317" s="7">
        <f t="shared" si="13"/>
        <v>239</v>
      </c>
      <c r="N317" s="5">
        <f t="shared" si="14"/>
        <v>7.5</v>
      </c>
    </row>
    <row r="318" spans="1:14" x14ac:dyDescent="0.25">
      <c r="A318" s="2" t="s">
        <v>133</v>
      </c>
      <c r="B318" s="2" t="s">
        <v>119</v>
      </c>
      <c r="C318" s="2" t="s">
        <v>16</v>
      </c>
      <c r="D318" s="2" t="s">
        <v>18</v>
      </c>
      <c r="E318" s="2">
        <v>88</v>
      </c>
      <c r="F318" s="2">
        <v>27984</v>
      </c>
      <c r="G318" s="2">
        <v>11460</v>
      </c>
      <c r="H318" s="2">
        <v>6</v>
      </c>
      <c r="I318" s="2">
        <v>67</v>
      </c>
      <c r="J318" s="2">
        <v>0</v>
      </c>
      <c r="K318" s="2">
        <v>3.7</v>
      </c>
      <c r="L318" s="3">
        <f t="shared" si="12"/>
        <v>0.40951972555746141</v>
      </c>
      <c r="M318" s="4">
        <f t="shared" si="13"/>
        <v>318</v>
      </c>
      <c r="N318" s="2">
        <f t="shared" si="14"/>
        <v>14.666666666666666</v>
      </c>
    </row>
    <row r="319" spans="1:14" x14ac:dyDescent="0.25">
      <c r="A319" s="5" t="s">
        <v>133</v>
      </c>
      <c r="B319" s="5" t="s">
        <v>119</v>
      </c>
      <c r="C319" s="5" t="s">
        <v>16</v>
      </c>
      <c r="D319" s="5" t="s">
        <v>19</v>
      </c>
      <c r="E319" s="5">
        <v>28</v>
      </c>
      <c r="F319" s="5">
        <v>7336</v>
      </c>
      <c r="G319" s="5">
        <v>2703</v>
      </c>
      <c r="H319" s="5">
        <v>7</v>
      </c>
      <c r="I319" s="5">
        <v>44</v>
      </c>
      <c r="J319" s="5">
        <v>2</v>
      </c>
      <c r="K319" s="5">
        <v>4.2</v>
      </c>
      <c r="L319" s="6">
        <f t="shared" si="12"/>
        <v>0.36845692475463465</v>
      </c>
      <c r="M319" s="7">
        <f t="shared" si="13"/>
        <v>262</v>
      </c>
      <c r="N319" s="5">
        <f t="shared" si="14"/>
        <v>4</v>
      </c>
    </row>
    <row r="320" spans="1:14" x14ac:dyDescent="0.25">
      <c r="A320" s="2" t="s">
        <v>134</v>
      </c>
      <c r="B320" s="2" t="s">
        <v>119</v>
      </c>
      <c r="C320" s="2" t="s">
        <v>21</v>
      </c>
      <c r="D320" s="2" t="s">
        <v>17</v>
      </c>
      <c r="E320" s="2">
        <v>32</v>
      </c>
      <c r="F320" s="2">
        <v>8000</v>
      </c>
      <c r="G320" s="2">
        <v>2713</v>
      </c>
      <c r="H320" s="2">
        <v>3</v>
      </c>
      <c r="I320" s="2">
        <v>43</v>
      </c>
      <c r="J320" s="2">
        <v>2</v>
      </c>
      <c r="K320" s="2">
        <v>4</v>
      </c>
      <c r="L320" s="3">
        <f t="shared" si="12"/>
        <v>0.33912500000000001</v>
      </c>
      <c r="M320" s="4">
        <f t="shared" si="13"/>
        <v>250</v>
      </c>
      <c r="N320" s="2">
        <f t="shared" si="14"/>
        <v>10.666666666666666</v>
      </c>
    </row>
    <row r="321" spans="1:14" x14ac:dyDescent="0.25">
      <c r="A321" s="5" t="s">
        <v>134</v>
      </c>
      <c r="B321" s="5" t="s">
        <v>119</v>
      </c>
      <c r="C321" s="5" t="s">
        <v>21</v>
      </c>
      <c r="D321" s="5" t="s">
        <v>18</v>
      </c>
      <c r="E321" s="5">
        <v>72</v>
      </c>
      <c r="F321" s="5">
        <v>32760</v>
      </c>
      <c r="G321" s="5">
        <v>12966</v>
      </c>
      <c r="H321" s="5">
        <v>6</v>
      </c>
      <c r="I321" s="5">
        <v>51</v>
      </c>
      <c r="J321" s="5">
        <v>4</v>
      </c>
      <c r="K321" s="5">
        <v>4.5</v>
      </c>
      <c r="L321" s="6">
        <f t="shared" si="12"/>
        <v>0.39578754578754577</v>
      </c>
      <c r="M321" s="7">
        <f t="shared" si="13"/>
        <v>455</v>
      </c>
      <c r="N321" s="5">
        <f t="shared" si="14"/>
        <v>12</v>
      </c>
    </row>
    <row r="322" spans="1:14" x14ac:dyDescent="0.25">
      <c r="A322" s="2" t="s">
        <v>134</v>
      </c>
      <c r="B322" s="2" t="s">
        <v>119</v>
      </c>
      <c r="C322" s="2" t="s">
        <v>21</v>
      </c>
      <c r="D322" s="2" t="s">
        <v>19</v>
      </c>
      <c r="E322" s="2">
        <v>25</v>
      </c>
      <c r="F322" s="2">
        <v>8450</v>
      </c>
      <c r="G322" s="2">
        <v>3164</v>
      </c>
      <c r="H322" s="2">
        <v>7</v>
      </c>
      <c r="I322" s="2">
        <v>50</v>
      </c>
      <c r="J322" s="2">
        <v>2</v>
      </c>
      <c r="K322" s="2">
        <v>4.4000000000000004</v>
      </c>
      <c r="L322" s="3">
        <f t="shared" ref="L322:L385" si="15">G322/F322</f>
        <v>0.37443786982248523</v>
      </c>
      <c r="M322" s="4">
        <f t="shared" ref="M322:M385" si="16">F322/E322</f>
        <v>338</v>
      </c>
      <c r="N322" s="2">
        <f t="shared" ref="N322:N385" si="17">E322/H322</f>
        <v>3.5714285714285716</v>
      </c>
    </row>
    <row r="323" spans="1:14" x14ac:dyDescent="0.25">
      <c r="A323" s="5" t="s">
        <v>135</v>
      </c>
      <c r="B323" s="5" t="s">
        <v>119</v>
      </c>
      <c r="C323" s="5" t="s">
        <v>23</v>
      </c>
      <c r="D323" s="5" t="s">
        <v>17</v>
      </c>
      <c r="E323" s="5">
        <v>38</v>
      </c>
      <c r="F323" s="5">
        <v>9880</v>
      </c>
      <c r="G323" s="5">
        <v>2838</v>
      </c>
      <c r="H323" s="5">
        <v>3</v>
      </c>
      <c r="I323" s="5">
        <v>55</v>
      </c>
      <c r="J323" s="5">
        <v>1</v>
      </c>
      <c r="K323" s="5">
        <v>4.4000000000000004</v>
      </c>
      <c r="L323" s="6">
        <f t="shared" si="15"/>
        <v>0.28724696356275303</v>
      </c>
      <c r="M323" s="7">
        <f t="shared" si="16"/>
        <v>260</v>
      </c>
      <c r="N323" s="5">
        <f t="shared" si="17"/>
        <v>12.666666666666666</v>
      </c>
    </row>
    <row r="324" spans="1:14" x14ac:dyDescent="0.25">
      <c r="A324" s="2" t="s">
        <v>135</v>
      </c>
      <c r="B324" s="2" t="s">
        <v>119</v>
      </c>
      <c r="C324" s="2" t="s">
        <v>23</v>
      </c>
      <c r="D324" s="2" t="s">
        <v>18</v>
      </c>
      <c r="E324" s="2">
        <v>116</v>
      </c>
      <c r="F324" s="2">
        <v>36424</v>
      </c>
      <c r="G324" s="2">
        <v>13156</v>
      </c>
      <c r="H324" s="2">
        <v>7</v>
      </c>
      <c r="I324" s="2">
        <v>65</v>
      </c>
      <c r="J324" s="2">
        <v>1</v>
      </c>
      <c r="K324" s="2">
        <v>4</v>
      </c>
      <c r="L324" s="3">
        <f t="shared" si="15"/>
        <v>0.3611904238963321</v>
      </c>
      <c r="M324" s="4">
        <f t="shared" si="16"/>
        <v>314</v>
      </c>
      <c r="N324" s="2">
        <f t="shared" si="17"/>
        <v>16.571428571428573</v>
      </c>
    </row>
    <row r="325" spans="1:14" x14ac:dyDescent="0.25">
      <c r="A325" s="5" t="s">
        <v>135</v>
      </c>
      <c r="B325" s="5" t="s">
        <v>119</v>
      </c>
      <c r="C325" s="5" t="s">
        <v>23</v>
      </c>
      <c r="D325" s="5" t="s">
        <v>19</v>
      </c>
      <c r="E325" s="5">
        <v>58</v>
      </c>
      <c r="F325" s="5">
        <v>11658</v>
      </c>
      <c r="G325" s="5">
        <v>4217</v>
      </c>
      <c r="H325" s="5">
        <v>5</v>
      </c>
      <c r="I325" s="5">
        <v>64</v>
      </c>
      <c r="J325" s="5">
        <v>3</v>
      </c>
      <c r="K325" s="5">
        <v>4.5</v>
      </c>
      <c r="L325" s="6">
        <f t="shared" si="15"/>
        <v>0.36172585349116487</v>
      </c>
      <c r="M325" s="7">
        <f t="shared" si="16"/>
        <v>201</v>
      </c>
      <c r="N325" s="5">
        <f t="shared" si="17"/>
        <v>11.6</v>
      </c>
    </row>
    <row r="326" spans="1:14" x14ac:dyDescent="0.25">
      <c r="A326" s="2" t="s">
        <v>136</v>
      </c>
      <c r="B326" s="2" t="s">
        <v>119</v>
      </c>
      <c r="C326" s="2" t="s">
        <v>25</v>
      </c>
      <c r="D326" s="2" t="s">
        <v>17</v>
      </c>
      <c r="E326" s="2">
        <v>17</v>
      </c>
      <c r="F326" s="2">
        <v>4369</v>
      </c>
      <c r="G326" s="2">
        <v>1244</v>
      </c>
      <c r="H326" s="2">
        <v>5</v>
      </c>
      <c r="I326" s="2">
        <v>50</v>
      </c>
      <c r="J326" s="2">
        <v>0</v>
      </c>
      <c r="K326" s="2">
        <v>4.4000000000000004</v>
      </c>
      <c r="L326" s="3">
        <f t="shared" si="15"/>
        <v>0.28473334859235522</v>
      </c>
      <c r="M326" s="4">
        <f t="shared" si="16"/>
        <v>257</v>
      </c>
      <c r="N326" s="2">
        <f t="shared" si="17"/>
        <v>3.4</v>
      </c>
    </row>
    <row r="327" spans="1:14" x14ac:dyDescent="0.25">
      <c r="A327" s="5" t="s">
        <v>136</v>
      </c>
      <c r="B327" s="5" t="s">
        <v>119</v>
      </c>
      <c r="C327" s="5" t="s">
        <v>25</v>
      </c>
      <c r="D327" s="5" t="s">
        <v>18</v>
      </c>
      <c r="E327" s="5">
        <v>107</v>
      </c>
      <c r="F327" s="5">
        <v>46331</v>
      </c>
      <c r="G327" s="5">
        <v>17278</v>
      </c>
      <c r="H327" s="5">
        <v>9</v>
      </c>
      <c r="I327" s="5">
        <v>69</v>
      </c>
      <c r="J327" s="5">
        <v>4</v>
      </c>
      <c r="K327" s="5">
        <v>4.3</v>
      </c>
      <c r="L327" s="6">
        <f t="shared" si="15"/>
        <v>0.37292525522868059</v>
      </c>
      <c r="M327" s="7">
        <f t="shared" si="16"/>
        <v>433</v>
      </c>
      <c r="N327" s="5">
        <f t="shared" si="17"/>
        <v>11.888888888888889</v>
      </c>
    </row>
    <row r="328" spans="1:14" x14ac:dyDescent="0.25">
      <c r="A328" s="2" t="s">
        <v>136</v>
      </c>
      <c r="B328" s="2" t="s">
        <v>119</v>
      </c>
      <c r="C328" s="2" t="s">
        <v>25</v>
      </c>
      <c r="D328" s="2" t="s">
        <v>19</v>
      </c>
      <c r="E328" s="2">
        <v>67</v>
      </c>
      <c r="F328" s="2">
        <v>20569</v>
      </c>
      <c r="G328" s="2">
        <v>5784</v>
      </c>
      <c r="H328" s="2">
        <v>7</v>
      </c>
      <c r="I328" s="2">
        <v>58</v>
      </c>
      <c r="J328" s="2">
        <v>1</v>
      </c>
      <c r="K328" s="2">
        <v>4.2</v>
      </c>
      <c r="L328" s="3">
        <f t="shared" si="15"/>
        <v>0.28119986387281831</v>
      </c>
      <c r="M328" s="4">
        <f t="shared" si="16"/>
        <v>307</v>
      </c>
      <c r="N328" s="2">
        <f t="shared" si="17"/>
        <v>9.5714285714285712</v>
      </c>
    </row>
    <row r="329" spans="1:14" x14ac:dyDescent="0.25">
      <c r="A329" s="5" t="s">
        <v>137</v>
      </c>
      <c r="B329" s="5" t="s">
        <v>119</v>
      </c>
      <c r="C329" s="5" t="s">
        <v>27</v>
      </c>
      <c r="D329" s="5" t="s">
        <v>17</v>
      </c>
      <c r="E329" s="5">
        <v>64</v>
      </c>
      <c r="F329" s="5">
        <v>14784</v>
      </c>
      <c r="G329" s="5">
        <v>5936</v>
      </c>
      <c r="H329" s="5">
        <v>3</v>
      </c>
      <c r="I329" s="5">
        <v>50</v>
      </c>
      <c r="J329" s="5">
        <v>0</v>
      </c>
      <c r="K329" s="5">
        <v>4.0999999999999996</v>
      </c>
      <c r="L329" s="6">
        <f t="shared" si="15"/>
        <v>0.40151515151515149</v>
      </c>
      <c r="M329" s="7">
        <f t="shared" si="16"/>
        <v>231</v>
      </c>
      <c r="N329" s="5">
        <f t="shared" si="17"/>
        <v>21.333333333333332</v>
      </c>
    </row>
    <row r="330" spans="1:14" x14ac:dyDescent="0.25">
      <c r="A330" s="2" t="s">
        <v>137</v>
      </c>
      <c r="B330" s="2" t="s">
        <v>119</v>
      </c>
      <c r="C330" s="2" t="s">
        <v>27</v>
      </c>
      <c r="D330" s="2" t="s">
        <v>18</v>
      </c>
      <c r="E330" s="2">
        <v>93</v>
      </c>
      <c r="F330" s="2">
        <v>39339</v>
      </c>
      <c r="G330" s="2">
        <v>16211</v>
      </c>
      <c r="H330" s="2">
        <v>9</v>
      </c>
      <c r="I330" s="2">
        <v>49</v>
      </c>
      <c r="J330" s="2">
        <v>1</v>
      </c>
      <c r="K330" s="2">
        <v>4</v>
      </c>
      <c r="L330" s="3">
        <f t="shared" si="15"/>
        <v>0.41208469966191313</v>
      </c>
      <c r="M330" s="4">
        <f t="shared" si="16"/>
        <v>423</v>
      </c>
      <c r="N330" s="2">
        <f t="shared" si="17"/>
        <v>10.333333333333334</v>
      </c>
    </row>
    <row r="331" spans="1:14" x14ac:dyDescent="0.25">
      <c r="A331" s="5" t="s">
        <v>137</v>
      </c>
      <c r="B331" s="5" t="s">
        <v>119</v>
      </c>
      <c r="C331" s="5" t="s">
        <v>27</v>
      </c>
      <c r="D331" s="5" t="s">
        <v>19</v>
      </c>
      <c r="E331" s="5">
        <v>39</v>
      </c>
      <c r="F331" s="5">
        <v>12441</v>
      </c>
      <c r="G331" s="5">
        <v>3549</v>
      </c>
      <c r="H331" s="5">
        <v>6</v>
      </c>
      <c r="I331" s="5">
        <v>50</v>
      </c>
      <c r="J331" s="5">
        <v>2</v>
      </c>
      <c r="K331" s="5">
        <v>4.2</v>
      </c>
      <c r="L331" s="6">
        <f t="shared" si="15"/>
        <v>0.28526645768025077</v>
      </c>
      <c r="M331" s="7">
        <f t="shared" si="16"/>
        <v>319</v>
      </c>
      <c r="N331" s="5">
        <f t="shared" si="17"/>
        <v>6.5</v>
      </c>
    </row>
    <row r="332" spans="1:14" x14ac:dyDescent="0.25">
      <c r="A332" s="2" t="s">
        <v>138</v>
      </c>
      <c r="B332" s="2" t="s">
        <v>119</v>
      </c>
      <c r="C332" s="2" t="s">
        <v>29</v>
      </c>
      <c r="D332" s="2" t="s">
        <v>17</v>
      </c>
      <c r="E332" s="2">
        <v>54</v>
      </c>
      <c r="F332" s="2">
        <v>11124</v>
      </c>
      <c r="G332" s="2">
        <v>4314</v>
      </c>
      <c r="H332" s="2">
        <v>5</v>
      </c>
      <c r="I332" s="2">
        <v>43</v>
      </c>
      <c r="J332" s="2">
        <v>0</v>
      </c>
      <c r="K332" s="2">
        <v>4.0999999999999996</v>
      </c>
      <c r="L332" s="3">
        <f t="shared" si="15"/>
        <v>0.38781014023732469</v>
      </c>
      <c r="M332" s="4">
        <f t="shared" si="16"/>
        <v>206</v>
      </c>
      <c r="N332" s="2">
        <f t="shared" si="17"/>
        <v>10.8</v>
      </c>
    </row>
    <row r="333" spans="1:14" x14ac:dyDescent="0.25">
      <c r="A333" s="5" t="s">
        <v>138</v>
      </c>
      <c r="B333" s="5" t="s">
        <v>119</v>
      </c>
      <c r="C333" s="5" t="s">
        <v>29</v>
      </c>
      <c r="D333" s="5" t="s">
        <v>18</v>
      </c>
      <c r="E333" s="5">
        <v>105</v>
      </c>
      <c r="F333" s="5">
        <v>33075</v>
      </c>
      <c r="G333" s="5">
        <v>11205</v>
      </c>
      <c r="H333" s="5">
        <v>6</v>
      </c>
      <c r="I333" s="5">
        <v>58</v>
      </c>
      <c r="J333" s="5">
        <v>3</v>
      </c>
      <c r="K333" s="5">
        <v>4.5999999999999996</v>
      </c>
      <c r="L333" s="6">
        <f t="shared" si="15"/>
        <v>0.33877551020408164</v>
      </c>
      <c r="M333" s="7">
        <f t="shared" si="16"/>
        <v>315</v>
      </c>
      <c r="N333" s="5">
        <f t="shared" si="17"/>
        <v>17.5</v>
      </c>
    </row>
    <row r="334" spans="1:14" x14ac:dyDescent="0.25">
      <c r="A334" s="2" t="s">
        <v>138</v>
      </c>
      <c r="B334" s="2" t="s">
        <v>119</v>
      </c>
      <c r="C334" s="2" t="s">
        <v>29</v>
      </c>
      <c r="D334" s="2" t="s">
        <v>19</v>
      </c>
      <c r="E334" s="2">
        <v>44</v>
      </c>
      <c r="F334" s="2">
        <v>9020</v>
      </c>
      <c r="G334" s="2">
        <v>2636</v>
      </c>
      <c r="H334" s="2">
        <v>6</v>
      </c>
      <c r="I334" s="2">
        <v>63</v>
      </c>
      <c r="J334" s="2">
        <v>0</v>
      </c>
      <c r="K334" s="2">
        <v>4.5999999999999996</v>
      </c>
      <c r="L334" s="3">
        <f t="shared" si="15"/>
        <v>0.29223946784922394</v>
      </c>
      <c r="M334" s="4">
        <f t="shared" si="16"/>
        <v>205</v>
      </c>
      <c r="N334" s="2">
        <f t="shared" si="17"/>
        <v>7.333333333333333</v>
      </c>
    </row>
    <row r="335" spans="1:14" x14ac:dyDescent="0.25">
      <c r="A335" s="5" t="s">
        <v>139</v>
      </c>
      <c r="B335" s="5" t="s">
        <v>119</v>
      </c>
      <c r="C335" s="5" t="s">
        <v>31</v>
      </c>
      <c r="D335" s="5" t="s">
        <v>17</v>
      </c>
      <c r="E335" s="5">
        <v>40</v>
      </c>
      <c r="F335" s="5">
        <v>7520</v>
      </c>
      <c r="G335" s="5">
        <v>2704</v>
      </c>
      <c r="H335" s="5">
        <v>4</v>
      </c>
      <c r="I335" s="5">
        <v>39</v>
      </c>
      <c r="J335" s="5">
        <v>1</v>
      </c>
      <c r="K335" s="5">
        <v>4</v>
      </c>
      <c r="L335" s="6">
        <f t="shared" si="15"/>
        <v>0.3595744680851064</v>
      </c>
      <c r="M335" s="7">
        <f t="shared" si="16"/>
        <v>188</v>
      </c>
      <c r="N335" s="5">
        <f t="shared" si="17"/>
        <v>10</v>
      </c>
    </row>
    <row r="336" spans="1:14" x14ac:dyDescent="0.25">
      <c r="A336" s="2" t="s">
        <v>139</v>
      </c>
      <c r="B336" s="2" t="s">
        <v>119</v>
      </c>
      <c r="C336" s="2" t="s">
        <v>31</v>
      </c>
      <c r="D336" s="2" t="s">
        <v>18</v>
      </c>
      <c r="E336" s="2">
        <v>169</v>
      </c>
      <c r="F336" s="2">
        <v>62699</v>
      </c>
      <c r="G336" s="2">
        <v>21130</v>
      </c>
      <c r="H336" s="2">
        <v>10</v>
      </c>
      <c r="I336" s="2">
        <v>74</v>
      </c>
      <c r="J336" s="2">
        <v>1</v>
      </c>
      <c r="K336" s="2">
        <v>4.4000000000000004</v>
      </c>
      <c r="L336" s="3">
        <f t="shared" si="15"/>
        <v>0.33700696980813089</v>
      </c>
      <c r="M336" s="4">
        <f t="shared" si="16"/>
        <v>371</v>
      </c>
      <c r="N336" s="2">
        <f t="shared" si="17"/>
        <v>16.899999999999999</v>
      </c>
    </row>
    <row r="337" spans="1:14" x14ac:dyDescent="0.25">
      <c r="A337" s="5" t="s">
        <v>139</v>
      </c>
      <c r="B337" s="5" t="s">
        <v>119</v>
      </c>
      <c r="C337" s="5" t="s">
        <v>31</v>
      </c>
      <c r="D337" s="5" t="s">
        <v>19</v>
      </c>
      <c r="E337" s="5">
        <v>89</v>
      </c>
      <c r="F337" s="5">
        <v>23051</v>
      </c>
      <c r="G337" s="5">
        <v>7075</v>
      </c>
      <c r="H337" s="5">
        <v>4</v>
      </c>
      <c r="I337" s="5">
        <v>65</v>
      </c>
      <c r="J337" s="5">
        <v>1</v>
      </c>
      <c r="K337" s="5">
        <v>3.8</v>
      </c>
      <c r="L337" s="6">
        <f t="shared" si="15"/>
        <v>0.30692811591687996</v>
      </c>
      <c r="M337" s="7">
        <f t="shared" si="16"/>
        <v>259</v>
      </c>
      <c r="N337" s="5">
        <f t="shared" si="17"/>
        <v>22.25</v>
      </c>
    </row>
    <row r="338" spans="1:14" x14ac:dyDescent="0.25">
      <c r="A338" s="2" t="s">
        <v>140</v>
      </c>
      <c r="B338" s="2" t="s">
        <v>119</v>
      </c>
      <c r="C338" s="2" t="s">
        <v>16</v>
      </c>
      <c r="D338" s="2" t="s">
        <v>17</v>
      </c>
      <c r="E338" s="2">
        <v>39</v>
      </c>
      <c r="F338" s="2">
        <v>8541</v>
      </c>
      <c r="G338" s="2">
        <v>2556</v>
      </c>
      <c r="H338" s="2">
        <v>3</v>
      </c>
      <c r="I338" s="2">
        <v>40</v>
      </c>
      <c r="J338" s="2">
        <v>0</v>
      </c>
      <c r="K338" s="2">
        <v>4.4000000000000004</v>
      </c>
      <c r="L338" s="3">
        <f t="shared" si="15"/>
        <v>0.29926238145416229</v>
      </c>
      <c r="M338" s="4">
        <f t="shared" si="16"/>
        <v>219</v>
      </c>
      <c r="N338" s="2">
        <f t="shared" si="17"/>
        <v>13</v>
      </c>
    </row>
    <row r="339" spans="1:14" x14ac:dyDescent="0.25">
      <c r="A339" s="5" t="s">
        <v>140</v>
      </c>
      <c r="B339" s="5" t="s">
        <v>119</v>
      </c>
      <c r="C339" s="5" t="s">
        <v>16</v>
      </c>
      <c r="D339" s="5" t="s">
        <v>18</v>
      </c>
      <c r="E339" s="5">
        <v>103</v>
      </c>
      <c r="F339" s="5">
        <v>44187</v>
      </c>
      <c r="G339" s="5">
        <v>16031</v>
      </c>
      <c r="H339" s="5">
        <v>7</v>
      </c>
      <c r="I339" s="5">
        <v>55</v>
      </c>
      <c r="J339" s="5">
        <v>4</v>
      </c>
      <c r="K339" s="5">
        <v>3.8</v>
      </c>
      <c r="L339" s="6">
        <f t="shared" si="15"/>
        <v>0.36279901328445019</v>
      </c>
      <c r="M339" s="7">
        <f t="shared" si="16"/>
        <v>429</v>
      </c>
      <c r="N339" s="5">
        <f t="shared" si="17"/>
        <v>14.714285714285714</v>
      </c>
    </row>
    <row r="340" spans="1:14" x14ac:dyDescent="0.25">
      <c r="A340" s="2" t="s">
        <v>140</v>
      </c>
      <c r="B340" s="2" t="s">
        <v>119</v>
      </c>
      <c r="C340" s="2" t="s">
        <v>16</v>
      </c>
      <c r="D340" s="2" t="s">
        <v>19</v>
      </c>
      <c r="E340" s="2">
        <v>55</v>
      </c>
      <c r="F340" s="2">
        <v>13310</v>
      </c>
      <c r="G340" s="2">
        <v>4096</v>
      </c>
      <c r="H340" s="2">
        <v>5</v>
      </c>
      <c r="I340" s="2">
        <v>44</v>
      </c>
      <c r="J340" s="2">
        <v>1</v>
      </c>
      <c r="K340" s="2">
        <v>4.2</v>
      </c>
      <c r="L340" s="3">
        <f t="shared" si="15"/>
        <v>0.30773854244928628</v>
      </c>
      <c r="M340" s="4">
        <f t="shared" si="16"/>
        <v>242</v>
      </c>
      <c r="N340" s="2">
        <f t="shared" si="17"/>
        <v>11</v>
      </c>
    </row>
    <row r="341" spans="1:14" x14ac:dyDescent="0.25">
      <c r="A341" s="5" t="s">
        <v>141</v>
      </c>
      <c r="B341" s="5" t="s">
        <v>119</v>
      </c>
      <c r="C341" s="5" t="s">
        <v>21</v>
      </c>
      <c r="D341" s="5" t="s">
        <v>17</v>
      </c>
      <c r="E341" s="5">
        <v>39</v>
      </c>
      <c r="F341" s="5">
        <v>9633</v>
      </c>
      <c r="G341" s="5">
        <v>3673</v>
      </c>
      <c r="H341" s="5">
        <v>5</v>
      </c>
      <c r="I341" s="5">
        <v>46</v>
      </c>
      <c r="J341" s="5">
        <v>1</v>
      </c>
      <c r="K341" s="5">
        <v>4.3</v>
      </c>
      <c r="L341" s="6">
        <f t="shared" si="15"/>
        <v>0.38129347036229627</v>
      </c>
      <c r="M341" s="7">
        <f t="shared" si="16"/>
        <v>247</v>
      </c>
      <c r="N341" s="5">
        <f t="shared" si="17"/>
        <v>7.8</v>
      </c>
    </row>
    <row r="342" spans="1:14" x14ac:dyDescent="0.25">
      <c r="A342" s="2" t="s">
        <v>141</v>
      </c>
      <c r="B342" s="2" t="s">
        <v>119</v>
      </c>
      <c r="C342" s="2" t="s">
        <v>21</v>
      </c>
      <c r="D342" s="2" t="s">
        <v>18</v>
      </c>
      <c r="E342" s="2">
        <v>111</v>
      </c>
      <c r="F342" s="2">
        <v>41625</v>
      </c>
      <c r="G342" s="2">
        <v>13991</v>
      </c>
      <c r="H342" s="2">
        <v>9</v>
      </c>
      <c r="I342" s="2">
        <v>51</v>
      </c>
      <c r="J342" s="2">
        <v>4</v>
      </c>
      <c r="K342" s="2">
        <v>3.7</v>
      </c>
      <c r="L342" s="3">
        <f t="shared" si="15"/>
        <v>0.3361201201201201</v>
      </c>
      <c r="M342" s="4">
        <f t="shared" si="16"/>
        <v>375</v>
      </c>
      <c r="N342" s="2">
        <f t="shared" si="17"/>
        <v>12.333333333333334</v>
      </c>
    </row>
    <row r="343" spans="1:14" x14ac:dyDescent="0.25">
      <c r="A343" s="5" t="s">
        <v>141</v>
      </c>
      <c r="B343" s="5" t="s">
        <v>119</v>
      </c>
      <c r="C343" s="5" t="s">
        <v>21</v>
      </c>
      <c r="D343" s="5" t="s">
        <v>19</v>
      </c>
      <c r="E343" s="5">
        <v>52</v>
      </c>
      <c r="F343" s="5">
        <v>16432</v>
      </c>
      <c r="G343" s="5">
        <v>5674</v>
      </c>
      <c r="H343" s="5">
        <v>4</v>
      </c>
      <c r="I343" s="5">
        <v>62</v>
      </c>
      <c r="J343" s="5">
        <v>1</v>
      </c>
      <c r="K343" s="5">
        <v>4.0999999999999996</v>
      </c>
      <c r="L343" s="6">
        <f t="shared" si="15"/>
        <v>0.34530185004868547</v>
      </c>
      <c r="M343" s="7">
        <f t="shared" si="16"/>
        <v>316</v>
      </c>
      <c r="N343" s="5">
        <f t="shared" si="17"/>
        <v>13</v>
      </c>
    </row>
    <row r="344" spans="1:14" x14ac:dyDescent="0.25">
      <c r="A344" s="2" t="s">
        <v>142</v>
      </c>
      <c r="B344" s="2" t="s">
        <v>119</v>
      </c>
      <c r="C344" s="2" t="s">
        <v>23</v>
      </c>
      <c r="D344" s="2" t="s">
        <v>17</v>
      </c>
      <c r="E344" s="2">
        <v>33</v>
      </c>
      <c r="F344" s="2">
        <v>6963</v>
      </c>
      <c r="G344" s="2">
        <v>2130</v>
      </c>
      <c r="H344" s="2">
        <v>5</v>
      </c>
      <c r="I344" s="2">
        <v>38</v>
      </c>
      <c r="J344" s="2">
        <v>1</v>
      </c>
      <c r="K344" s="2">
        <v>4</v>
      </c>
      <c r="L344" s="3">
        <f t="shared" si="15"/>
        <v>0.30590262817750968</v>
      </c>
      <c r="M344" s="4">
        <f t="shared" si="16"/>
        <v>211</v>
      </c>
      <c r="N344" s="2">
        <f t="shared" si="17"/>
        <v>6.6</v>
      </c>
    </row>
    <row r="345" spans="1:14" x14ac:dyDescent="0.25">
      <c r="A345" s="5" t="s">
        <v>142</v>
      </c>
      <c r="B345" s="5" t="s">
        <v>119</v>
      </c>
      <c r="C345" s="5" t="s">
        <v>23</v>
      </c>
      <c r="D345" s="5" t="s">
        <v>18</v>
      </c>
      <c r="E345" s="5">
        <v>82</v>
      </c>
      <c r="F345" s="5">
        <v>37884</v>
      </c>
      <c r="G345" s="5">
        <v>11592</v>
      </c>
      <c r="H345" s="5">
        <v>8</v>
      </c>
      <c r="I345" s="5">
        <v>49</v>
      </c>
      <c r="J345" s="5">
        <v>1</v>
      </c>
      <c r="K345" s="5">
        <v>4.2</v>
      </c>
      <c r="L345" s="6">
        <f t="shared" si="15"/>
        <v>0.30598669623059865</v>
      </c>
      <c r="M345" s="7">
        <f t="shared" si="16"/>
        <v>462</v>
      </c>
      <c r="N345" s="5">
        <f t="shared" si="17"/>
        <v>10.25</v>
      </c>
    </row>
    <row r="346" spans="1:14" x14ac:dyDescent="0.25">
      <c r="A346" s="2" t="s">
        <v>142</v>
      </c>
      <c r="B346" s="2" t="s">
        <v>119</v>
      </c>
      <c r="C346" s="2" t="s">
        <v>23</v>
      </c>
      <c r="D346" s="2" t="s">
        <v>19</v>
      </c>
      <c r="E346" s="2">
        <v>61</v>
      </c>
      <c r="F346" s="2">
        <v>14884</v>
      </c>
      <c r="G346" s="2">
        <v>5749</v>
      </c>
      <c r="H346" s="2">
        <v>4</v>
      </c>
      <c r="I346" s="2">
        <v>54</v>
      </c>
      <c r="J346" s="2">
        <v>0</v>
      </c>
      <c r="K346" s="2">
        <v>4.2</v>
      </c>
      <c r="L346" s="3">
        <f t="shared" si="15"/>
        <v>0.38625369524321418</v>
      </c>
      <c r="M346" s="4">
        <f t="shared" si="16"/>
        <v>244</v>
      </c>
      <c r="N346" s="2">
        <f t="shared" si="17"/>
        <v>15.25</v>
      </c>
    </row>
    <row r="347" spans="1:14" x14ac:dyDescent="0.25">
      <c r="A347" s="5" t="s">
        <v>143</v>
      </c>
      <c r="B347" s="5" t="s">
        <v>119</v>
      </c>
      <c r="C347" s="5" t="s">
        <v>25</v>
      </c>
      <c r="D347" s="5" t="s">
        <v>17</v>
      </c>
      <c r="E347" s="5">
        <v>28</v>
      </c>
      <c r="F347" s="5">
        <v>7476</v>
      </c>
      <c r="G347" s="5">
        <v>2360</v>
      </c>
      <c r="H347" s="5">
        <v>4</v>
      </c>
      <c r="I347" s="5">
        <v>38</v>
      </c>
      <c r="J347" s="5">
        <v>2</v>
      </c>
      <c r="K347" s="5">
        <v>3.9</v>
      </c>
      <c r="L347" s="6">
        <f t="shared" si="15"/>
        <v>0.31567683253076512</v>
      </c>
      <c r="M347" s="7">
        <f t="shared" si="16"/>
        <v>267</v>
      </c>
      <c r="N347" s="5">
        <f t="shared" si="17"/>
        <v>7</v>
      </c>
    </row>
    <row r="348" spans="1:14" x14ac:dyDescent="0.25">
      <c r="A348" s="2" t="s">
        <v>143</v>
      </c>
      <c r="B348" s="2" t="s">
        <v>119</v>
      </c>
      <c r="C348" s="2" t="s">
        <v>25</v>
      </c>
      <c r="D348" s="2" t="s">
        <v>18</v>
      </c>
      <c r="E348" s="2">
        <v>113</v>
      </c>
      <c r="F348" s="2">
        <v>47234</v>
      </c>
      <c r="G348" s="2">
        <v>16801</v>
      </c>
      <c r="H348" s="2">
        <v>8</v>
      </c>
      <c r="I348" s="2">
        <v>59</v>
      </c>
      <c r="J348" s="2">
        <v>4</v>
      </c>
      <c r="K348" s="2">
        <v>4.3</v>
      </c>
      <c r="L348" s="3">
        <f t="shared" si="15"/>
        <v>0.35569716729474532</v>
      </c>
      <c r="M348" s="4">
        <f t="shared" si="16"/>
        <v>418</v>
      </c>
      <c r="N348" s="2">
        <f t="shared" si="17"/>
        <v>14.125</v>
      </c>
    </row>
    <row r="349" spans="1:14" x14ac:dyDescent="0.25">
      <c r="A349" s="5" t="s">
        <v>143</v>
      </c>
      <c r="B349" s="5" t="s">
        <v>119</v>
      </c>
      <c r="C349" s="5" t="s">
        <v>25</v>
      </c>
      <c r="D349" s="5" t="s">
        <v>19</v>
      </c>
      <c r="E349" s="5">
        <v>59</v>
      </c>
      <c r="F349" s="5">
        <v>13570</v>
      </c>
      <c r="G349" s="5">
        <v>4981</v>
      </c>
      <c r="H349" s="5">
        <v>5</v>
      </c>
      <c r="I349" s="5">
        <v>43</v>
      </c>
      <c r="J349" s="5">
        <v>3</v>
      </c>
      <c r="K349" s="5">
        <v>3.8</v>
      </c>
      <c r="L349" s="6">
        <f t="shared" si="15"/>
        <v>0.36705969049373616</v>
      </c>
      <c r="M349" s="7">
        <f t="shared" si="16"/>
        <v>230</v>
      </c>
      <c r="N349" s="5">
        <f t="shared" si="17"/>
        <v>11.8</v>
      </c>
    </row>
    <row r="350" spans="1:14" x14ac:dyDescent="0.25">
      <c r="A350" s="2" t="s">
        <v>144</v>
      </c>
      <c r="B350" s="2" t="s">
        <v>119</v>
      </c>
      <c r="C350" s="2" t="s">
        <v>27</v>
      </c>
      <c r="D350" s="2" t="s">
        <v>17</v>
      </c>
      <c r="E350" s="2">
        <v>57</v>
      </c>
      <c r="F350" s="2">
        <v>13281</v>
      </c>
      <c r="G350" s="2">
        <v>4306</v>
      </c>
      <c r="H350" s="2">
        <v>3</v>
      </c>
      <c r="I350" s="2">
        <v>50</v>
      </c>
      <c r="J350" s="2">
        <v>1</v>
      </c>
      <c r="K350" s="2">
        <v>4.0999999999999996</v>
      </c>
      <c r="L350" s="3">
        <f t="shared" si="15"/>
        <v>0.32422257360138546</v>
      </c>
      <c r="M350" s="4">
        <f t="shared" si="16"/>
        <v>233</v>
      </c>
      <c r="N350" s="2">
        <f t="shared" si="17"/>
        <v>19</v>
      </c>
    </row>
    <row r="351" spans="1:14" x14ac:dyDescent="0.25">
      <c r="A351" s="5" t="s">
        <v>144</v>
      </c>
      <c r="B351" s="5" t="s">
        <v>119</v>
      </c>
      <c r="C351" s="5" t="s">
        <v>27</v>
      </c>
      <c r="D351" s="5" t="s">
        <v>18</v>
      </c>
      <c r="E351" s="5">
        <v>180</v>
      </c>
      <c r="F351" s="5">
        <v>60660</v>
      </c>
      <c r="G351" s="5">
        <v>24585</v>
      </c>
      <c r="H351" s="5">
        <v>7</v>
      </c>
      <c r="I351" s="5">
        <v>48</v>
      </c>
      <c r="J351" s="5">
        <v>0</v>
      </c>
      <c r="K351" s="5">
        <v>3.6</v>
      </c>
      <c r="L351" s="6">
        <f t="shared" si="15"/>
        <v>0.4052917903066271</v>
      </c>
      <c r="M351" s="7">
        <f t="shared" si="16"/>
        <v>337</v>
      </c>
      <c r="N351" s="5">
        <f t="shared" si="17"/>
        <v>25.714285714285715</v>
      </c>
    </row>
    <row r="352" spans="1:14" x14ac:dyDescent="0.25">
      <c r="A352" s="2" t="s">
        <v>144</v>
      </c>
      <c r="B352" s="2" t="s">
        <v>119</v>
      </c>
      <c r="C352" s="2" t="s">
        <v>27</v>
      </c>
      <c r="D352" s="2" t="s">
        <v>19</v>
      </c>
      <c r="E352" s="2">
        <v>85</v>
      </c>
      <c r="F352" s="2">
        <v>20995</v>
      </c>
      <c r="G352" s="2">
        <v>6004</v>
      </c>
      <c r="H352" s="2">
        <v>7</v>
      </c>
      <c r="I352" s="2">
        <v>48</v>
      </c>
      <c r="J352" s="2">
        <v>3</v>
      </c>
      <c r="K352" s="2">
        <v>4.4000000000000004</v>
      </c>
      <c r="L352" s="3">
        <f t="shared" si="15"/>
        <v>0.28597285067873301</v>
      </c>
      <c r="M352" s="4">
        <f t="shared" si="16"/>
        <v>247</v>
      </c>
      <c r="N352" s="2">
        <f t="shared" si="17"/>
        <v>12.142857142857142</v>
      </c>
    </row>
    <row r="353" spans="1:14" x14ac:dyDescent="0.25">
      <c r="A353" s="5" t="s">
        <v>145</v>
      </c>
      <c r="B353" s="5" t="s">
        <v>119</v>
      </c>
      <c r="C353" s="5" t="s">
        <v>29</v>
      </c>
      <c r="D353" s="5" t="s">
        <v>17</v>
      </c>
      <c r="E353" s="5">
        <v>70</v>
      </c>
      <c r="F353" s="5">
        <v>14210</v>
      </c>
      <c r="G353" s="5">
        <v>4975</v>
      </c>
      <c r="H353" s="5">
        <v>3</v>
      </c>
      <c r="I353" s="5">
        <v>46</v>
      </c>
      <c r="J353" s="5">
        <v>0</v>
      </c>
      <c r="K353" s="5">
        <v>4.2</v>
      </c>
      <c r="L353" s="6">
        <f t="shared" si="15"/>
        <v>0.35010555946516536</v>
      </c>
      <c r="M353" s="7">
        <f t="shared" si="16"/>
        <v>203</v>
      </c>
      <c r="N353" s="5">
        <f t="shared" si="17"/>
        <v>23.333333333333332</v>
      </c>
    </row>
    <row r="354" spans="1:14" x14ac:dyDescent="0.25">
      <c r="A354" s="2" t="s">
        <v>145</v>
      </c>
      <c r="B354" s="2" t="s">
        <v>119</v>
      </c>
      <c r="C354" s="2" t="s">
        <v>29</v>
      </c>
      <c r="D354" s="2" t="s">
        <v>18</v>
      </c>
      <c r="E354" s="2">
        <v>198</v>
      </c>
      <c r="F354" s="2">
        <v>62370</v>
      </c>
      <c r="G354" s="2">
        <v>24515</v>
      </c>
      <c r="H354" s="2">
        <v>6</v>
      </c>
      <c r="I354" s="2">
        <v>57</v>
      </c>
      <c r="J354" s="2">
        <v>2</v>
      </c>
      <c r="K354" s="2">
        <v>4.4000000000000004</v>
      </c>
      <c r="L354" s="3">
        <f t="shared" si="15"/>
        <v>0.3930575597242264</v>
      </c>
      <c r="M354" s="4">
        <f t="shared" si="16"/>
        <v>315</v>
      </c>
      <c r="N354" s="2">
        <f t="shared" si="17"/>
        <v>33</v>
      </c>
    </row>
    <row r="355" spans="1:14" x14ac:dyDescent="0.25">
      <c r="A355" s="5" t="s">
        <v>145</v>
      </c>
      <c r="B355" s="5" t="s">
        <v>119</v>
      </c>
      <c r="C355" s="5" t="s">
        <v>29</v>
      </c>
      <c r="D355" s="5" t="s">
        <v>19</v>
      </c>
      <c r="E355" s="5">
        <v>57</v>
      </c>
      <c r="F355" s="5">
        <v>19608</v>
      </c>
      <c r="G355" s="5">
        <v>7746</v>
      </c>
      <c r="H355" s="5">
        <v>6</v>
      </c>
      <c r="I355" s="5">
        <v>48</v>
      </c>
      <c r="J355" s="5">
        <v>3</v>
      </c>
      <c r="K355" s="5">
        <v>3.7</v>
      </c>
      <c r="L355" s="6">
        <f t="shared" si="15"/>
        <v>0.39504283965728276</v>
      </c>
      <c r="M355" s="7">
        <f t="shared" si="16"/>
        <v>344</v>
      </c>
      <c r="N355" s="5">
        <f t="shared" si="17"/>
        <v>9.5</v>
      </c>
    </row>
    <row r="356" spans="1:14" x14ac:dyDescent="0.25">
      <c r="A356" s="2" t="s">
        <v>146</v>
      </c>
      <c r="B356" s="2" t="s">
        <v>119</v>
      </c>
      <c r="C356" s="2" t="s">
        <v>31</v>
      </c>
      <c r="D356" s="2" t="s">
        <v>17</v>
      </c>
      <c r="E356" s="2">
        <v>62</v>
      </c>
      <c r="F356" s="2">
        <v>12586</v>
      </c>
      <c r="G356" s="2">
        <v>5198</v>
      </c>
      <c r="H356" s="2">
        <v>4</v>
      </c>
      <c r="I356" s="2">
        <v>49</v>
      </c>
      <c r="J356" s="2">
        <v>0</v>
      </c>
      <c r="K356" s="2">
        <v>4.2</v>
      </c>
      <c r="L356" s="3">
        <f t="shared" si="15"/>
        <v>0.41299856983950423</v>
      </c>
      <c r="M356" s="4">
        <f t="shared" si="16"/>
        <v>203</v>
      </c>
      <c r="N356" s="2">
        <f t="shared" si="17"/>
        <v>15.5</v>
      </c>
    </row>
    <row r="357" spans="1:14" x14ac:dyDescent="0.25">
      <c r="A357" s="5" t="s">
        <v>146</v>
      </c>
      <c r="B357" s="5" t="s">
        <v>119</v>
      </c>
      <c r="C357" s="5" t="s">
        <v>31</v>
      </c>
      <c r="D357" s="5" t="s">
        <v>18</v>
      </c>
      <c r="E357" s="5">
        <v>188</v>
      </c>
      <c r="F357" s="5">
        <v>85916</v>
      </c>
      <c r="G357" s="5">
        <v>34209</v>
      </c>
      <c r="H357" s="5">
        <v>7</v>
      </c>
      <c r="I357" s="5">
        <v>60</v>
      </c>
      <c r="J357" s="5">
        <v>3</v>
      </c>
      <c r="K357" s="5">
        <v>3.8</v>
      </c>
      <c r="L357" s="6">
        <f t="shared" si="15"/>
        <v>0.39816797802504772</v>
      </c>
      <c r="M357" s="7">
        <f t="shared" si="16"/>
        <v>457</v>
      </c>
      <c r="N357" s="5">
        <f t="shared" si="17"/>
        <v>26.857142857142858</v>
      </c>
    </row>
    <row r="358" spans="1:14" x14ac:dyDescent="0.25">
      <c r="A358" s="2" t="s">
        <v>146</v>
      </c>
      <c r="B358" s="2" t="s">
        <v>119</v>
      </c>
      <c r="C358" s="2" t="s">
        <v>31</v>
      </c>
      <c r="D358" s="2" t="s">
        <v>19</v>
      </c>
      <c r="E358" s="2">
        <v>61</v>
      </c>
      <c r="F358" s="2">
        <v>16226</v>
      </c>
      <c r="G358" s="2">
        <v>5276</v>
      </c>
      <c r="H358" s="2">
        <v>7</v>
      </c>
      <c r="I358" s="2">
        <v>53</v>
      </c>
      <c r="J358" s="2">
        <v>2</v>
      </c>
      <c r="K358" s="2">
        <v>3.9</v>
      </c>
      <c r="L358" s="3">
        <f t="shared" si="15"/>
        <v>0.32515715518303956</v>
      </c>
      <c r="M358" s="4">
        <f t="shared" si="16"/>
        <v>266</v>
      </c>
      <c r="N358" s="2">
        <f t="shared" si="17"/>
        <v>8.7142857142857135</v>
      </c>
    </row>
    <row r="359" spans="1:14" x14ac:dyDescent="0.25">
      <c r="A359" s="5" t="s">
        <v>147</v>
      </c>
      <c r="B359" s="5" t="s">
        <v>119</v>
      </c>
      <c r="C359" s="5" t="s">
        <v>16</v>
      </c>
      <c r="D359" s="5" t="s">
        <v>17</v>
      </c>
      <c r="E359" s="5">
        <v>35</v>
      </c>
      <c r="F359" s="5">
        <v>6440</v>
      </c>
      <c r="G359" s="5">
        <v>2131</v>
      </c>
      <c r="H359" s="5">
        <v>5</v>
      </c>
      <c r="I359" s="5">
        <v>39</v>
      </c>
      <c r="J359" s="5">
        <v>2</v>
      </c>
      <c r="K359" s="5">
        <v>4.4000000000000004</v>
      </c>
      <c r="L359" s="6">
        <f t="shared" si="15"/>
        <v>0.33090062111801244</v>
      </c>
      <c r="M359" s="7">
        <f t="shared" si="16"/>
        <v>184</v>
      </c>
      <c r="N359" s="5">
        <f t="shared" si="17"/>
        <v>7</v>
      </c>
    </row>
    <row r="360" spans="1:14" x14ac:dyDescent="0.25">
      <c r="A360" s="2" t="s">
        <v>147</v>
      </c>
      <c r="B360" s="2" t="s">
        <v>119</v>
      </c>
      <c r="C360" s="2" t="s">
        <v>16</v>
      </c>
      <c r="D360" s="2" t="s">
        <v>18</v>
      </c>
      <c r="E360" s="2">
        <v>97</v>
      </c>
      <c r="F360" s="2">
        <v>44135</v>
      </c>
      <c r="G360" s="2">
        <v>13222</v>
      </c>
      <c r="H360" s="2">
        <v>8</v>
      </c>
      <c r="I360" s="2">
        <v>74</v>
      </c>
      <c r="J360" s="2">
        <v>3</v>
      </c>
      <c r="K360" s="2">
        <v>4.3</v>
      </c>
      <c r="L360" s="3">
        <f t="shared" si="15"/>
        <v>0.29958083153959442</v>
      </c>
      <c r="M360" s="4">
        <f t="shared" si="16"/>
        <v>455</v>
      </c>
      <c r="N360" s="2">
        <f t="shared" si="17"/>
        <v>12.125</v>
      </c>
    </row>
    <row r="361" spans="1:14" x14ac:dyDescent="0.25">
      <c r="A361" s="5" t="s">
        <v>147</v>
      </c>
      <c r="B361" s="5" t="s">
        <v>119</v>
      </c>
      <c r="C361" s="5" t="s">
        <v>16</v>
      </c>
      <c r="D361" s="5" t="s">
        <v>19</v>
      </c>
      <c r="E361" s="5">
        <v>26</v>
      </c>
      <c r="F361" s="5">
        <v>9074</v>
      </c>
      <c r="G361" s="5">
        <v>2755</v>
      </c>
      <c r="H361" s="5">
        <v>5</v>
      </c>
      <c r="I361" s="5">
        <v>50</v>
      </c>
      <c r="J361" s="5">
        <v>2</v>
      </c>
      <c r="K361" s="5">
        <v>3.9</v>
      </c>
      <c r="L361" s="6">
        <f t="shared" si="15"/>
        <v>0.303614723385497</v>
      </c>
      <c r="M361" s="7">
        <f t="shared" si="16"/>
        <v>349</v>
      </c>
      <c r="N361" s="5">
        <f t="shared" si="17"/>
        <v>5.2</v>
      </c>
    </row>
    <row r="362" spans="1:14" x14ac:dyDescent="0.25">
      <c r="A362" s="2" t="s">
        <v>148</v>
      </c>
      <c r="B362" s="2" t="s">
        <v>119</v>
      </c>
      <c r="C362" s="2" t="s">
        <v>21</v>
      </c>
      <c r="D362" s="2" t="s">
        <v>17</v>
      </c>
      <c r="E362" s="2">
        <v>29</v>
      </c>
      <c r="F362" s="2">
        <v>6815</v>
      </c>
      <c r="G362" s="2">
        <v>2600</v>
      </c>
      <c r="H362" s="2">
        <v>3</v>
      </c>
      <c r="I362" s="2">
        <v>36</v>
      </c>
      <c r="J362" s="2">
        <v>2</v>
      </c>
      <c r="K362" s="2">
        <v>4.3</v>
      </c>
      <c r="L362" s="3">
        <f t="shared" si="15"/>
        <v>0.3815113719735877</v>
      </c>
      <c r="M362" s="4">
        <f t="shared" si="16"/>
        <v>235</v>
      </c>
      <c r="N362" s="2">
        <f t="shared" si="17"/>
        <v>9.6666666666666661</v>
      </c>
    </row>
    <row r="363" spans="1:14" x14ac:dyDescent="0.25">
      <c r="A363" s="5" t="s">
        <v>148</v>
      </c>
      <c r="B363" s="5" t="s">
        <v>119</v>
      </c>
      <c r="C363" s="5" t="s">
        <v>21</v>
      </c>
      <c r="D363" s="5" t="s">
        <v>18</v>
      </c>
      <c r="E363" s="5">
        <v>96</v>
      </c>
      <c r="F363" s="5">
        <v>34368</v>
      </c>
      <c r="G363" s="5">
        <v>14338</v>
      </c>
      <c r="H363" s="5">
        <v>6</v>
      </c>
      <c r="I363" s="5">
        <v>56</v>
      </c>
      <c r="J363" s="5">
        <v>1</v>
      </c>
      <c r="K363" s="5">
        <v>4.5999999999999996</v>
      </c>
      <c r="L363" s="6">
        <f t="shared" si="15"/>
        <v>0.41719040968342647</v>
      </c>
      <c r="M363" s="7">
        <f t="shared" si="16"/>
        <v>358</v>
      </c>
      <c r="N363" s="5">
        <f t="shared" si="17"/>
        <v>16</v>
      </c>
    </row>
    <row r="364" spans="1:14" x14ac:dyDescent="0.25">
      <c r="A364" s="2" t="s">
        <v>148</v>
      </c>
      <c r="B364" s="2" t="s">
        <v>119</v>
      </c>
      <c r="C364" s="2" t="s">
        <v>21</v>
      </c>
      <c r="D364" s="2" t="s">
        <v>19</v>
      </c>
      <c r="E364" s="2">
        <v>57</v>
      </c>
      <c r="F364" s="2">
        <v>14079</v>
      </c>
      <c r="G364" s="2">
        <v>4723</v>
      </c>
      <c r="H364" s="2">
        <v>4</v>
      </c>
      <c r="I364" s="2">
        <v>55</v>
      </c>
      <c r="J364" s="2">
        <v>3</v>
      </c>
      <c r="K364" s="2">
        <v>3.9</v>
      </c>
      <c r="L364" s="3">
        <f t="shared" si="15"/>
        <v>0.33546416648909722</v>
      </c>
      <c r="M364" s="4">
        <f t="shared" si="16"/>
        <v>247</v>
      </c>
      <c r="N364" s="2">
        <f t="shared" si="17"/>
        <v>14.25</v>
      </c>
    </row>
    <row r="365" spans="1:14" x14ac:dyDescent="0.25">
      <c r="A365" s="5" t="s">
        <v>149</v>
      </c>
      <c r="B365" s="5" t="s">
        <v>150</v>
      </c>
      <c r="C365" s="5" t="s">
        <v>23</v>
      </c>
      <c r="D365" s="5" t="s">
        <v>17</v>
      </c>
      <c r="E365" s="5">
        <v>44</v>
      </c>
      <c r="F365" s="5">
        <v>11176</v>
      </c>
      <c r="G365" s="5">
        <v>3604</v>
      </c>
      <c r="H365" s="5">
        <v>3</v>
      </c>
      <c r="I365" s="5">
        <v>47</v>
      </c>
      <c r="J365" s="5">
        <v>2</v>
      </c>
      <c r="K365" s="5">
        <v>4.0999999999999996</v>
      </c>
      <c r="L365" s="6">
        <f t="shared" si="15"/>
        <v>0.32247673586256265</v>
      </c>
      <c r="M365" s="7">
        <f t="shared" si="16"/>
        <v>254</v>
      </c>
      <c r="N365" s="5">
        <f t="shared" si="17"/>
        <v>14.666666666666666</v>
      </c>
    </row>
    <row r="366" spans="1:14" x14ac:dyDescent="0.25">
      <c r="A366" s="2" t="s">
        <v>149</v>
      </c>
      <c r="B366" s="2" t="s">
        <v>150</v>
      </c>
      <c r="C366" s="2" t="s">
        <v>23</v>
      </c>
      <c r="D366" s="2" t="s">
        <v>18</v>
      </c>
      <c r="E366" s="2">
        <v>99</v>
      </c>
      <c r="F366" s="2">
        <v>29601</v>
      </c>
      <c r="G366" s="2">
        <v>12336</v>
      </c>
      <c r="H366" s="2">
        <v>10</v>
      </c>
      <c r="I366" s="2">
        <v>65</v>
      </c>
      <c r="J366" s="2">
        <v>2</v>
      </c>
      <c r="K366" s="2">
        <v>3.5</v>
      </c>
      <c r="L366" s="3">
        <f t="shared" si="15"/>
        <v>0.41674267761224282</v>
      </c>
      <c r="M366" s="4">
        <f t="shared" si="16"/>
        <v>299</v>
      </c>
      <c r="N366" s="2">
        <f t="shared" si="17"/>
        <v>9.9</v>
      </c>
    </row>
    <row r="367" spans="1:14" x14ac:dyDescent="0.25">
      <c r="A367" s="5" t="s">
        <v>149</v>
      </c>
      <c r="B367" s="5" t="s">
        <v>150</v>
      </c>
      <c r="C367" s="5" t="s">
        <v>23</v>
      </c>
      <c r="D367" s="5" t="s">
        <v>19</v>
      </c>
      <c r="E367" s="5">
        <v>32</v>
      </c>
      <c r="F367" s="5">
        <v>8928</v>
      </c>
      <c r="G367" s="5">
        <v>3666</v>
      </c>
      <c r="H367" s="5">
        <v>5</v>
      </c>
      <c r="I367" s="5">
        <v>47</v>
      </c>
      <c r="J367" s="5">
        <v>3</v>
      </c>
      <c r="K367" s="5">
        <v>4.5999999999999996</v>
      </c>
      <c r="L367" s="6">
        <f t="shared" si="15"/>
        <v>0.4106182795698925</v>
      </c>
      <c r="M367" s="7">
        <f t="shared" si="16"/>
        <v>279</v>
      </c>
      <c r="N367" s="5">
        <f t="shared" si="17"/>
        <v>6.4</v>
      </c>
    </row>
    <row r="368" spans="1:14" x14ac:dyDescent="0.25">
      <c r="A368" s="2" t="s">
        <v>151</v>
      </c>
      <c r="B368" s="2" t="s">
        <v>150</v>
      </c>
      <c r="C368" s="2" t="s">
        <v>25</v>
      </c>
      <c r="D368" s="2" t="s">
        <v>17</v>
      </c>
      <c r="E368" s="2">
        <v>46</v>
      </c>
      <c r="F368" s="2">
        <v>12512</v>
      </c>
      <c r="G368" s="2">
        <v>4842</v>
      </c>
      <c r="H368" s="2">
        <v>4</v>
      </c>
      <c r="I368" s="2">
        <v>44</v>
      </c>
      <c r="J368" s="2">
        <v>0</v>
      </c>
      <c r="K368" s="2">
        <v>4.2</v>
      </c>
      <c r="L368" s="3">
        <f t="shared" si="15"/>
        <v>0.38698849104859334</v>
      </c>
      <c r="M368" s="4">
        <f t="shared" si="16"/>
        <v>272</v>
      </c>
      <c r="N368" s="2">
        <f t="shared" si="17"/>
        <v>11.5</v>
      </c>
    </row>
    <row r="369" spans="1:14" x14ac:dyDescent="0.25">
      <c r="A369" s="5" t="s">
        <v>151</v>
      </c>
      <c r="B369" s="5" t="s">
        <v>150</v>
      </c>
      <c r="C369" s="5" t="s">
        <v>25</v>
      </c>
      <c r="D369" s="5" t="s">
        <v>18</v>
      </c>
      <c r="E369" s="5">
        <v>108</v>
      </c>
      <c r="F369" s="5">
        <v>51300</v>
      </c>
      <c r="G369" s="5">
        <v>16457</v>
      </c>
      <c r="H369" s="5">
        <v>7</v>
      </c>
      <c r="I369" s="5">
        <v>54</v>
      </c>
      <c r="J369" s="5">
        <v>3</v>
      </c>
      <c r="K369" s="5">
        <v>3.6</v>
      </c>
      <c r="L369" s="6">
        <f t="shared" si="15"/>
        <v>0.32079922027290447</v>
      </c>
      <c r="M369" s="7">
        <f t="shared" si="16"/>
        <v>475</v>
      </c>
      <c r="N369" s="5">
        <f t="shared" si="17"/>
        <v>15.428571428571429</v>
      </c>
    </row>
    <row r="370" spans="1:14" x14ac:dyDescent="0.25">
      <c r="A370" s="2" t="s">
        <v>151</v>
      </c>
      <c r="B370" s="2" t="s">
        <v>150</v>
      </c>
      <c r="C370" s="2" t="s">
        <v>25</v>
      </c>
      <c r="D370" s="2" t="s">
        <v>19</v>
      </c>
      <c r="E370" s="2">
        <v>51</v>
      </c>
      <c r="F370" s="2">
        <v>12648</v>
      </c>
      <c r="G370" s="2">
        <v>3739</v>
      </c>
      <c r="H370" s="2">
        <v>7</v>
      </c>
      <c r="I370" s="2">
        <v>54</v>
      </c>
      <c r="J370" s="2">
        <v>3</v>
      </c>
      <c r="K370" s="2">
        <v>4.3</v>
      </c>
      <c r="L370" s="3">
        <f t="shared" si="15"/>
        <v>0.29561986084756481</v>
      </c>
      <c r="M370" s="4">
        <f t="shared" si="16"/>
        <v>248</v>
      </c>
      <c r="N370" s="2">
        <f t="shared" si="17"/>
        <v>7.2857142857142856</v>
      </c>
    </row>
    <row r="371" spans="1:14" x14ac:dyDescent="0.25">
      <c r="A371" s="5" t="s">
        <v>152</v>
      </c>
      <c r="B371" s="5" t="s">
        <v>150</v>
      </c>
      <c r="C371" s="5" t="s">
        <v>27</v>
      </c>
      <c r="D371" s="5" t="s">
        <v>17</v>
      </c>
      <c r="E371" s="5">
        <v>52</v>
      </c>
      <c r="F371" s="5">
        <v>11856</v>
      </c>
      <c r="G371" s="5">
        <v>4608</v>
      </c>
      <c r="H371" s="5">
        <v>5</v>
      </c>
      <c r="I371" s="5">
        <v>50</v>
      </c>
      <c r="J371" s="5">
        <v>2</v>
      </c>
      <c r="K371" s="5">
        <v>3.8</v>
      </c>
      <c r="L371" s="6">
        <f t="shared" si="15"/>
        <v>0.38866396761133604</v>
      </c>
      <c r="M371" s="7">
        <f t="shared" si="16"/>
        <v>228</v>
      </c>
      <c r="N371" s="5">
        <f t="shared" si="17"/>
        <v>10.4</v>
      </c>
    </row>
    <row r="372" spans="1:14" x14ac:dyDescent="0.25">
      <c r="A372" s="2" t="s">
        <v>152</v>
      </c>
      <c r="B372" s="2" t="s">
        <v>150</v>
      </c>
      <c r="C372" s="2" t="s">
        <v>27</v>
      </c>
      <c r="D372" s="2" t="s">
        <v>18</v>
      </c>
      <c r="E372" s="2">
        <v>132</v>
      </c>
      <c r="F372" s="2">
        <v>62436</v>
      </c>
      <c r="G372" s="2">
        <v>24482</v>
      </c>
      <c r="H372" s="2">
        <v>9</v>
      </c>
      <c r="I372" s="2">
        <v>60</v>
      </c>
      <c r="J372" s="2">
        <v>0</v>
      </c>
      <c r="K372" s="2">
        <v>3.6</v>
      </c>
      <c r="L372" s="3">
        <f t="shared" si="15"/>
        <v>0.39211352424883078</v>
      </c>
      <c r="M372" s="4">
        <f t="shared" si="16"/>
        <v>473</v>
      </c>
      <c r="N372" s="2">
        <f t="shared" si="17"/>
        <v>14.666666666666666</v>
      </c>
    </row>
    <row r="373" spans="1:14" x14ac:dyDescent="0.25">
      <c r="A373" s="5" t="s">
        <v>152</v>
      </c>
      <c r="B373" s="5" t="s">
        <v>150</v>
      </c>
      <c r="C373" s="5" t="s">
        <v>27</v>
      </c>
      <c r="D373" s="5" t="s">
        <v>19</v>
      </c>
      <c r="E373" s="5">
        <v>62</v>
      </c>
      <c r="F373" s="5">
        <v>17794</v>
      </c>
      <c r="G373" s="5">
        <v>7417</v>
      </c>
      <c r="H373" s="5">
        <v>6</v>
      </c>
      <c r="I373" s="5">
        <v>53</v>
      </c>
      <c r="J373" s="5">
        <v>1</v>
      </c>
      <c r="K373" s="5">
        <v>4.3</v>
      </c>
      <c r="L373" s="6">
        <f t="shared" si="15"/>
        <v>0.4168258963695628</v>
      </c>
      <c r="M373" s="7">
        <f t="shared" si="16"/>
        <v>287</v>
      </c>
      <c r="N373" s="5">
        <f t="shared" si="17"/>
        <v>10.333333333333334</v>
      </c>
    </row>
    <row r="374" spans="1:14" x14ac:dyDescent="0.25">
      <c r="A374" s="2" t="s">
        <v>153</v>
      </c>
      <c r="B374" s="2" t="s">
        <v>150</v>
      </c>
      <c r="C374" s="2" t="s">
        <v>29</v>
      </c>
      <c r="D374" s="2" t="s">
        <v>17</v>
      </c>
      <c r="E374" s="2">
        <v>47</v>
      </c>
      <c r="F374" s="2">
        <v>9400</v>
      </c>
      <c r="G374" s="2">
        <v>2645</v>
      </c>
      <c r="H374" s="2">
        <v>3</v>
      </c>
      <c r="I374" s="2">
        <v>47</v>
      </c>
      <c r="J374" s="2">
        <v>1</v>
      </c>
      <c r="K374" s="2">
        <v>3.9</v>
      </c>
      <c r="L374" s="3">
        <f t="shared" si="15"/>
        <v>0.28138297872340423</v>
      </c>
      <c r="M374" s="4">
        <f t="shared" si="16"/>
        <v>200</v>
      </c>
      <c r="N374" s="2">
        <f t="shared" si="17"/>
        <v>15.666666666666666</v>
      </c>
    </row>
    <row r="375" spans="1:14" x14ac:dyDescent="0.25">
      <c r="A375" s="5" t="s">
        <v>153</v>
      </c>
      <c r="B375" s="5" t="s">
        <v>150</v>
      </c>
      <c r="C375" s="5" t="s">
        <v>29</v>
      </c>
      <c r="D375" s="5" t="s">
        <v>18</v>
      </c>
      <c r="E375" s="5">
        <v>125</v>
      </c>
      <c r="F375" s="5">
        <v>37250</v>
      </c>
      <c r="G375" s="5">
        <v>14522</v>
      </c>
      <c r="H375" s="5">
        <v>6</v>
      </c>
      <c r="I375" s="5">
        <v>54</v>
      </c>
      <c r="J375" s="5">
        <v>3</v>
      </c>
      <c r="K375" s="5">
        <v>4.4000000000000004</v>
      </c>
      <c r="L375" s="6">
        <f t="shared" si="15"/>
        <v>0.38985234899328858</v>
      </c>
      <c r="M375" s="7">
        <f t="shared" si="16"/>
        <v>298</v>
      </c>
      <c r="N375" s="5">
        <f t="shared" si="17"/>
        <v>20.833333333333332</v>
      </c>
    </row>
    <row r="376" spans="1:14" x14ac:dyDescent="0.25">
      <c r="A376" s="2" t="s">
        <v>153</v>
      </c>
      <c r="B376" s="2" t="s">
        <v>150</v>
      </c>
      <c r="C376" s="2" t="s">
        <v>29</v>
      </c>
      <c r="D376" s="2" t="s">
        <v>19</v>
      </c>
      <c r="E376" s="2">
        <v>91</v>
      </c>
      <c r="F376" s="2">
        <v>24024</v>
      </c>
      <c r="G376" s="2">
        <v>7861</v>
      </c>
      <c r="H376" s="2">
        <v>6</v>
      </c>
      <c r="I376" s="2">
        <v>65</v>
      </c>
      <c r="J376" s="2">
        <v>0</v>
      </c>
      <c r="K376" s="2">
        <v>4.0999999999999996</v>
      </c>
      <c r="L376" s="3">
        <f t="shared" si="15"/>
        <v>0.32721445221445222</v>
      </c>
      <c r="M376" s="4">
        <f t="shared" si="16"/>
        <v>264</v>
      </c>
      <c r="N376" s="2">
        <f t="shared" si="17"/>
        <v>15.166666666666666</v>
      </c>
    </row>
    <row r="377" spans="1:14" x14ac:dyDescent="0.25">
      <c r="A377" s="5" t="s">
        <v>154</v>
      </c>
      <c r="B377" s="5" t="s">
        <v>150</v>
      </c>
      <c r="C377" s="5" t="s">
        <v>31</v>
      </c>
      <c r="D377" s="5" t="s">
        <v>17</v>
      </c>
      <c r="E377" s="5">
        <v>45</v>
      </c>
      <c r="F377" s="5">
        <v>8730</v>
      </c>
      <c r="G377" s="5">
        <v>2810</v>
      </c>
      <c r="H377" s="5">
        <v>4</v>
      </c>
      <c r="I377" s="5">
        <v>47</v>
      </c>
      <c r="J377" s="5">
        <v>0</v>
      </c>
      <c r="K377" s="5">
        <v>4.0999999999999996</v>
      </c>
      <c r="L377" s="6">
        <f t="shared" si="15"/>
        <v>0.3218785796105384</v>
      </c>
      <c r="M377" s="7">
        <f t="shared" si="16"/>
        <v>194</v>
      </c>
      <c r="N377" s="5">
        <f t="shared" si="17"/>
        <v>11.25</v>
      </c>
    </row>
    <row r="378" spans="1:14" x14ac:dyDescent="0.25">
      <c r="A378" s="2" t="s">
        <v>154</v>
      </c>
      <c r="B378" s="2" t="s">
        <v>150</v>
      </c>
      <c r="C378" s="2" t="s">
        <v>31</v>
      </c>
      <c r="D378" s="2" t="s">
        <v>18</v>
      </c>
      <c r="E378" s="2">
        <v>110</v>
      </c>
      <c r="F378" s="2">
        <v>42460</v>
      </c>
      <c r="G378" s="2">
        <v>12959</v>
      </c>
      <c r="H378" s="2">
        <v>6</v>
      </c>
      <c r="I378" s="2">
        <v>66</v>
      </c>
      <c r="J378" s="2">
        <v>0</v>
      </c>
      <c r="K378" s="2">
        <v>3.8</v>
      </c>
      <c r="L378" s="3">
        <f t="shared" si="15"/>
        <v>0.30520489872821477</v>
      </c>
      <c r="M378" s="4">
        <f t="shared" si="16"/>
        <v>386</v>
      </c>
      <c r="N378" s="2">
        <f t="shared" si="17"/>
        <v>18.333333333333332</v>
      </c>
    </row>
    <row r="379" spans="1:14" x14ac:dyDescent="0.25">
      <c r="A379" s="5" t="s">
        <v>154</v>
      </c>
      <c r="B379" s="5" t="s">
        <v>150</v>
      </c>
      <c r="C379" s="5" t="s">
        <v>31</v>
      </c>
      <c r="D379" s="5" t="s">
        <v>19</v>
      </c>
      <c r="E379" s="5">
        <v>96</v>
      </c>
      <c r="F379" s="5">
        <v>30432</v>
      </c>
      <c r="G379" s="5">
        <v>8631</v>
      </c>
      <c r="H379" s="5">
        <v>6</v>
      </c>
      <c r="I379" s="5">
        <v>55</v>
      </c>
      <c r="J379" s="5">
        <v>2</v>
      </c>
      <c r="K379" s="5">
        <v>4.3</v>
      </c>
      <c r="L379" s="6">
        <f t="shared" si="15"/>
        <v>0.28361593059936907</v>
      </c>
      <c r="M379" s="7">
        <f t="shared" si="16"/>
        <v>317</v>
      </c>
      <c r="N379" s="5">
        <f t="shared" si="17"/>
        <v>16</v>
      </c>
    </row>
    <row r="380" spans="1:14" x14ac:dyDescent="0.25">
      <c r="A380" s="2" t="s">
        <v>155</v>
      </c>
      <c r="B380" s="2" t="s">
        <v>150</v>
      </c>
      <c r="C380" s="2" t="s">
        <v>16</v>
      </c>
      <c r="D380" s="2" t="s">
        <v>17</v>
      </c>
      <c r="E380" s="2">
        <v>29</v>
      </c>
      <c r="F380" s="2">
        <v>6525</v>
      </c>
      <c r="G380" s="2">
        <v>2731</v>
      </c>
      <c r="H380" s="2">
        <v>5</v>
      </c>
      <c r="I380" s="2">
        <v>51</v>
      </c>
      <c r="J380" s="2">
        <v>1</v>
      </c>
      <c r="K380" s="2">
        <v>3.8</v>
      </c>
      <c r="L380" s="3">
        <f t="shared" si="15"/>
        <v>0.41854406130268201</v>
      </c>
      <c r="M380" s="4">
        <f t="shared" si="16"/>
        <v>225</v>
      </c>
      <c r="N380" s="2">
        <f t="shared" si="17"/>
        <v>5.8</v>
      </c>
    </row>
    <row r="381" spans="1:14" x14ac:dyDescent="0.25">
      <c r="A381" s="5" t="s">
        <v>155</v>
      </c>
      <c r="B381" s="5" t="s">
        <v>150</v>
      </c>
      <c r="C381" s="5" t="s">
        <v>16</v>
      </c>
      <c r="D381" s="5" t="s">
        <v>18</v>
      </c>
      <c r="E381" s="5">
        <v>79</v>
      </c>
      <c r="F381" s="5">
        <v>32943</v>
      </c>
      <c r="G381" s="5">
        <v>11479</v>
      </c>
      <c r="H381" s="5">
        <v>8</v>
      </c>
      <c r="I381" s="5">
        <v>57</v>
      </c>
      <c r="J381" s="5">
        <v>3</v>
      </c>
      <c r="K381" s="5">
        <v>3.8</v>
      </c>
      <c r="L381" s="6">
        <f t="shared" si="15"/>
        <v>0.34845035364113774</v>
      </c>
      <c r="M381" s="7">
        <f t="shared" si="16"/>
        <v>417</v>
      </c>
      <c r="N381" s="5">
        <f t="shared" si="17"/>
        <v>9.875</v>
      </c>
    </row>
    <row r="382" spans="1:14" x14ac:dyDescent="0.25">
      <c r="A382" s="2" t="s">
        <v>155</v>
      </c>
      <c r="B382" s="2" t="s">
        <v>150</v>
      </c>
      <c r="C382" s="2" t="s">
        <v>16</v>
      </c>
      <c r="D382" s="2" t="s">
        <v>19</v>
      </c>
      <c r="E382" s="2">
        <v>41</v>
      </c>
      <c r="F382" s="2">
        <v>8528</v>
      </c>
      <c r="G382" s="2">
        <v>2992</v>
      </c>
      <c r="H382" s="2">
        <v>4</v>
      </c>
      <c r="I382" s="2">
        <v>45</v>
      </c>
      <c r="J382" s="2">
        <v>0</v>
      </c>
      <c r="K382" s="2">
        <v>3.9</v>
      </c>
      <c r="L382" s="3">
        <f t="shared" si="15"/>
        <v>0.35084427767354598</v>
      </c>
      <c r="M382" s="4">
        <f t="shared" si="16"/>
        <v>208</v>
      </c>
      <c r="N382" s="2">
        <f t="shared" si="17"/>
        <v>10.25</v>
      </c>
    </row>
    <row r="383" spans="1:14" x14ac:dyDescent="0.25">
      <c r="A383" s="5" t="s">
        <v>156</v>
      </c>
      <c r="B383" s="5" t="s">
        <v>150</v>
      </c>
      <c r="C383" s="5" t="s">
        <v>21</v>
      </c>
      <c r="D383" s="5" t="s">
        <v>17</v>
      </c>
      <c r="E383" s="5">
        <v>43</v>
      </c>
      <c r="F383" s="5">
        <v>10062</v>
      </c>
      <c r="G383" s="5">
        <v>3604</v>
      </c>
      <c r="H383" s="5">
        <v>5</v>
      </c>
      <c r="I383" s="5">
        <v>39</v>
      </c>
      <c r="J383" s="5">
        <v>1</v>
      </c>
      <c r="K383" s="5">
        <v>4.2</v>
      </c>
      <c r="L383" s="6">
        <f t="shared" si="15"/>
        <v>0.35817928841184654</v>
      </c>
      <c r="M383" s="7">
        <f t="shared" si="16"/>
        <v>234</v>
      </c>
      <c r="N383" s="5">
        <f t="shared" si="17"/>
        <v>8.6</v>
      </c>
    </row>
    <row r="384" spans="1:14" x14ac:dyDescent="0.25">
      <c r="A384" s="2" t="s">
        <v>156</v>
      </c>
      <c r="B384" s="2" t="s">
        <v>150</v>
      </c>
      <c r="C384" s="2" t="s">
        <v>21</v>
      </c>
      <c r="D384" s="2" t="s">
        <v>18</v>
      </c>
      <c r="E384" s="2">
        <v>71</v>
      </c>
      <c r="F384" s="2">
        <v>33015</v>
      </c>
      <c r="G384" s="2">
        <v>10900</v>
      </c>
      <c r="H384" s="2">
        <v>8</v>
      </c>
      <c r="I384" s="2">
        <v>70</v>
      </c>
      <c r="J384" s="2">
        <v>1</v>
      </c>
      <c r="K384" s="2">
        <v>4.5</v>
      </c>
      <c r="L384" s="3">
        <f t="shared" si="15"/>
        <v>0.33015296077540512</v>
      </c>
      <c r="M384" s="4">
        <f t="shared" si="16"/>
        <v>465</v>
      </c>
      <c r="N384" s="2">
        <f t="shared" si="17"/>
        <v>8.875</v>
      </c>
    </row>
    <row r="385" spans="1:14" x14ac:dyDescent="0.25">
      <c r="A385" s="5" t="s">
        <v>156</v>
      </c>
      <c r="B385" s="5" t="s">
        <v>150</v>
      </c>
      <c r="C385" s="5" t="s">
        <v>21</v>
      </c>
      <c r="D385" s="5" t="s">
        <v>19</v>
      </c>
      <c r="E385" s="5">
        <v>55</v>
      </c>
      <c r="F385" s="5">
        <v>11110</v>
      </c>
      <c r="G385" s="5">
        <v>4174</v>
      </c>
      <c r="H385" s="5">
        <v>5</v>
      </c>
      <c r="I385" s="5">
        <v>54</v>
      </c>
      <c r="J385" s="5">
        <v>0</v>
      </c>
      <c r="K385" s="5">
        <v>3.7</v>
      </c>
      <c r="L385" s="6">
        <f t="shared" si="15"/>
        <v>0.37569756975697571</v>
      </c>
      <c r="M385" s="7">
        <f t="shared" si="16"/>
        <v>202</v>
      </c>
      <c r="N385" s="5">
        <f t="shared" si="17"/>
        <v>11</v>
      </c>
    </row>
    <row r="386" spans="1:14" x14ac:dyDescent="0.25">
      <c r="A386" s="2" t="s">
        <v>157</v>
      </c>
      <c r="B386" s="2" t="s">
        <v>150</v>
      </c>
      <c r="C386" s="2" t="s">
        <v>23</v>
      </c>
      <c r="D386" s="2" t="s">
        <v>17</v>
      </c>
      <c r="E386" s="2">
        <v>45</v>
      </c>
      <c r="F386" s="2">
        <v>10710</v>
      </c>
      <c r="G386" s="2">
        <v>4330</v>
      </c>
      <c r="H386" s="2">
        <v>5</v>
      </c>
      <c r="I386" s="2">
        <v>43</v>
      </c>
      <c r="J386" s="2">
        <v>1</v>
      </c>
      <c r="K386" s="2">
        <v>3.9</v>
      </c>
      <c r="L386" s="3">
        <f t="shared" ref="L386:L449" si="18">G386/F386</f>
        <v>0.40429505135387489</v>
      </c>
      <c r="M386" s="4">
        <f t="shared" ref="M386:M449" si="19">F386/E386</f>
        <v>238</v>
      </c>
      <c r="N386" s="2">
        <f t="shared" ref="N386:N449" si="20">E386/H386</f>
        <v>9</v>
      </c>
    </row>
    <row r="387" spans="1:14" x14ac:dyDescent="0.25">
      <c r="A387" s="5" t="s">
        <v>157</v>
      </c>
      <c r="B387" s="5" t="s">
        <v>150</v>
      </c>
      <c r="C387" s="5" t="s">
        <v>23</v>
      </c>
      <c r="D387" s="5" t="s">
        <v>18</v>
      </c>
      <c r="E387" s="5">
        <v>87</v>
      </c>
      <c r="F387" s="5">
        <v>40716</v>
      </c>
      <c r="G387" s="5">
        <v>14193</v>
      </c>
      <c r="H387" s="5">
        <v>8</v>
      </c>
      <c r="I387" s="5">
        <v>75</v>
      </c>
      <c r="J387" s="5">
        <v>2</v>
      </c>
      <c r="K387" s="5">
        <v>4.5</v>
      </c>
      <c r="L387" s="6">
        <f t="shared" si="18"/>
        <v>0.34858532272325377</v>
      </c>
      <c r="M387" s="7">
        <f t="shared" si="19"/>
        <v>468</v>
      </c>
      <c r="N387" s="5">
        <f t="shared" si="20"/>
        <v>10.875</v>
      </c>
    </row>
    <row r="388" spans="1:14" x14ac:dyDescent="0.25">
      <c r="A388" s="2" t="s">
        <v>157</v>
      </c>
      <c r="B388" s="2" t="s">
        <v>150</v>
      </c>
      <c r="C388" s="2" t="s">
        <v>23</v>
      </c>
      <c r="D388" s="2" t="s">
        <v>19</v>
      </c>
      <c r="E388" s="2">
        <v>55</v>
      </c>
      <c r="F388" s="2">
        <v>18975</v>
      </c>
      <c r="G388" s="2">
        <v>7458</v>
      </c>
      <c r="H388" s="2">
        <v>4</v>
      </c>
      <c r="I388" s="2">
        <v>62</v>
      </c>
      <c r="J388" s="2">
        <v>0</v>
      </c>
      <c r="K388" s="2">
        <v>4.4000000000000004</v>
      </c>
      <c r="L388" s="3">
        <f t="shared" si="18"/>
        <v>0.39304347826086955</v>
      </c>
      <c r="M388" s="4">
        <f t="shared" si="19"/>
        <v>345</v>
      </c>
      <c r="N388" s="2">
        <f t="shared" si="20"/>
        <v>13.75</v>
      </c>
    </row>
    <row r="389" spans="1:14" x14ac:dyDescent="0.25">
      <c r="A389" s="5" t="s">
        <v>158</v>
      </c>
      <c r="B389" s="5" t="s">
        <v>150</v>
      </c>
      <c r="C389" s="5" t="s">
        <v>25</v>
      </c>
      <c r="D389" s="5" t="s">
        <v>17</v>
      </c>
      <c r="E389" s="5">
        <v>33</v>
      </c>
      <c r="F389" s="5">
        <v>8415</v>
      </c>
      <c r="G389" s="5">
        <v>2539</v>
      </c>
      <c r="H389" s="5">
        <v>4</v>
      </c>
      <c r="I389" s="5">
        <v>41</v>
      </c>
      <c r="J389" s="5">
        <v>2</v>
      </c>
      <c r="K389" s="5">
        <v>3.9</v>
      </c>
      <c r="L389" s="6">
        <f t="shared" si="18"/>
        <v>0.30172311348781938</v>
      </c>
      <c r="M389" s="7">
        <f t="shared" si="19"/>
        <v>255</v>
      </c>
      <c r="N389" s="5">
        <f t="shared" si="20"/>
        <v>8.25</v>
      </c>
    </row>
    <row r="390" spans="1:14" x14ac:dyDescent="0.25">
      <c r="A390" s="2" t="s">
        <v>158</v>
      </c>
      <c r="B390" s="2" t="s">
        <v>150</v>
      </c>
      <c r="C390" s="2" t="s">
        <v>25</v>
      </c>
      <c r="D390" s="2" t="s">
        <v>18</v>
      </c>
      <c r="E390" s="2">
        <v>51</v>
      </c>
      <c r="F390" s="2">
        <v>17748</v>
      </c>
      <c r="G390" s="2">
        <v>7226</v>
      </c>
      <c r="H390" s="2">
        <v>7</v>
      </c>
      <c r="I390" s="2">
        <v>61</v>
      </c>
      <c r="J390" s="2">
        <v>4</v>
      </c>
      <c r="K390" s="2">
        <v>4</v>
      </c>
      <c r="L390" s="3">
        <f t="shared" si="18"/>
        <v>0.4071444669821952</v>
      </c>
      <c r="M390" s="4">
        <f t="shared" si="19"/>
        <v>348</v>
      </c>
      <c r="N390" s="2">
        <f t="shared" si="20"/>
        <v>7.2857142857142856</v>
      </c>
    </row>
    <row r="391" spans="1:14" x14ac:dyDescent="0.25">
      <c r="A391" s="5" t="s">
        <v>158</v>
      </c>
      <c r="B391" s="5" t="s">
        <v>150</v>
      </c>
      <c r="C391" s="5" t="s">
        <v>25</v>
      </c>
      <c r="D391" s="5" t="s">
        <v>19</v>
      </c>
      <c r="E391" s="5">
        <v>63</v>
      </c>
      <c r="F391" s="5">
        <v>12852</v>
      </c>
      <c r="G391" s="5">
        <v>3769</v>
      </c>
      <c r="H391" s="5">
        <v>4</v>
      </c>
      <c r="I391" s="5">
        <v>51</v>
      </c>
      <c r="J391" s="5">
        <v>1</v>
      </c>
      <c r="K391" s="5">
        <v>4</v>
      </c>
      <c r="L391" s="6">
        <f t="shared" si="18"/>
        <v>0.29326174914410208</v>
      </c>
      <c r="M391" s="7">
        <f t="shared" si="19"/>
        <v>204</v>
      </c>
      <c r="N391" s="5">
        <f t="shared" si="20"/>
        <v>15.75</v>
      </c>
    </row>
    <row r="392" spans="1:14" x14ac:dyDescent="0.25">
      <c r="A392" s="2" t="s">
        <v>159</v>
      </c>
      <c r="B392" s="2" t="s">
        <v>150</v>
      </c>
      <c r="C392" s="2" t="s">
        <v>27</v>
      </c>
      <c r="D392" s="2" t="s">
        <v>17</v>
      </c>
      <c r="E392" s="2">
        <v>69</v>
      </c>
      <c r="F392" s="2">
        <v>12627</v>
      </c>
      <c r="G392" s="2">
        <v>4296</v>
      </c>
      <c r="H392" s="2">
        <v>3</v>
      </c>
      <c r="I392" s="2">
        <v>55</v>
      </c>
      <c r="J392" s="2">
        <v>0</v>
      </c>
      <c r="K392" s="2">
        <v>4.4000000000000004</v>
      </c>
      <c r="L392" s="3">
        <f t="shared" si="18"/>
        <v>0.34022333095747209</v>
      </c>
      <c r="M392" s="4">
        <f t="shared" si="19"/>
        <v>183</v>
      </c>
      <c r="N392" s="2">
        <f t="shared" si="20"/>
        <v>23</v>
      </c>
    </row>
    <row r="393" spans="1:14" x14ac:dyDescent="0.25">
      <c r="A393" s="5" t="s">
        <v>159</v>
      </c>
      <c r="B393" s="5" t="s">
        <v>150</v>
      </c>
      <c r="C393" s="5" t="s">
        <v>27</v>
      </c>
      <c r="D393" s="5" t="s">
        <v>18</v>
      </c>
      <c r="E393" s="5">
        <v>109</v>
      </c>
      <c r="F393" s="5">
        <v>39022</v>
      </c>
      <c r="G393" s="5">
        <v>11040</v>
      </c>
      <c r="H393" s="5">
        <v>8</v>
      </c>
      <c r="I393" s="5">
        <v>61</v>
      </c>
      <c r="J393" s="5">
        <v>2</v>
      </c>
      <c r="K393" s="5">
        <v>4</v>
      </c>
      <c r="L393" s="6">
        <f t="shared" si="18"/>
        <v>0.28291732868638203</v>
      </c>
      <c r="M393" s="7">
        <f t="shared" si="19"/>
        <v>358</v>
      </c>
      <c r="N393" s="5">
        <f t="shared" si="20"/>
        <v>13.625</v>
      </c>
    </row>
    <row r="394" spans="1:14" x14ac:dyDescent="0.25">
      <c r="A394" s="2" t="s">
        <v>159</v>
      </c>
      <c r="B394" s="2" t="s">
        <v>150</v>
      </c>
      <c r="C394" s="2" t="s">
        <v>27</v>
      </c>
      <c r="D394" s="2" t="s">
        <v>19</v>
      </c>
      <c r="E394" s="2">
        <v>48</v>
      </c>
      <c r="F394" s="2">
        <v>10608</v>
      </c>
      <c r="G394" s="2">
        <v>4085</v>
      </c>
      <c r="H394" s="2">
        <v>5</v>
      </c>
      <c r="I394" s="2">
        <v>55</v>
      </c>
      <c r="J394" s="2">
        <v>2</v>
      </c>
      <c r="K394" s="2">
        <v>3.6</v>
      </c>
      <c r="L394" s="3">
        <f t="shared" si="18"/>
        <v>0.38508672699849172</v>
      </c>
      <c r="M394" s="4">
        <f t="shared" si="19"/>
        <v>221</v>
      </c>
      <c r="N394" s="2">
        <f t="shared" si="20"/>
        <v>9.6</v>
      </c>
    </row>
    <row r="395" spans="1:14" x14ac:dyDescent="0.25">
      <c r="A395" s="5" t="s">
        <v>160</v>
      </c>
      <c r="B395" s="5" t="s">
        <v>150</v>
      </c>
      <c r="C395" s="5" t="s">
        <v>29</v>
      </c>
      <c r="D395" s="5" t="s">
        <v>17</v>
      </c>
      <c r="E395" s="5">
        <v>54</v>
      </c>
      <c r="F395" s="5">
        <v>10368</v>
      </c>
      <c r="G395" s="5">
        <v>3275</v>
      </c>
      <c r="H395" s="5">
        <v>5</v>
      </c>
      <c r="I395" s="5">
        <v>45</v>
      </c>
      <c r="J395" s="5">
        <v>1</v>
      </c>
      <c r="K395" s="5">
        <v>4.4000000000000004</v>
      </c>
      <c r="L395" s="6">
        <f t="shared" si="18"/>
        <v>0.31587577160493829</v>
      </c>
      <c r="M395" s="7">
        <f t="shared" si="19"/>
        <v>192</v>
      </c>
      <c r="N395" s="5">
        <f t="shared" si="20"/>
        <v>10.8</v>
      </c>
    </row>
    <row r="396" spans="1:14" x14ac:dyDescent="0.25">
      <c r="A396" s="2" t="s">
        <v>160</v>
      </c>
      <c r="B396" s="2" t="s">
        <v>150</v>
      </c>
      <c r="C396" s="2" t="s">
        <v>29</v>
      </c>
      <c r="D396" s="2" t="s">
        <v>18</v>
      </c>
      <c r="E396" s="2">
        <v>189</v>
      </c>
      <c r="F396" s="2">
        <v>75033</v>
      </c>
      <c r="G396" s="2">
        <v>24239</v>
      </c>
      <c r="H396" s="2">
        <v>8</v>
      </c>
      <c r="I396" s="2">
        <v>60</v>
      </c>
      <c r="J396" s="2">
        <v>4</v>
      </c>
      <c r="K396" s="2">
        <v>4</v>
      </c>
      <c r="L396" s="3">
        <f t="shared" si="18"/>
        <v>0.32304452707475378</v>
      </c>
      <c r="M396" s="4">
        <f t="shared" si="19"/>
        <v>397</v>
      </c>
      <c r="N396" s="2">
        <f t="shared" si="20"/>
        <v>23.625</v>
      </c>
    </row>
    <row r="397" spans="1:14" x14ac:dyDescent="0.25">
      <c r="A397" s="5" t="s">
        <v>160</v>
      </c>
      <c r="B397" s="5" t="s">
        <v>150</v>
      </c>
      <c r="C397" s="5" t="s">
        <v>29</v>
      </c>
      <c r="D397" s="5" t="s">
        <v>19</v>
      </c>
      <c r="E397" s="5">
        <v>53</v>
      </c>
      <c r="F397" s="5">
        <v>13144</v>
      </c>
      <c r="G397" s="5">
        <v>4957</v>
      </c>
      <c r="H397" s="5">
        <v>5</v>
      </c>
      <c r="I397" s="5">
        <v>57</v>
      </c>
      <c r="J397" s="5">
        <v>1</v>
      </c>
      <c r="K397" s="5">
        <v>4</v>
      </c>
      <c r="L397" s="6">
        <f t="shared" si="18"/>
        <v>0.37713024954351798</v>
      </c>
      <c r="M397" s="7">
        <f t="shared" si="19"/>
        <v>248</v>
      </c>
      <c r="N397" s="5">
        <f t="shared" si="20"/>
        <v>10.6</v>
      </c>
    </row>
    <row r="398" spans="1:14" x14ac:dyDescent="0.25">
      <c r="A398" s="2" t="s">
        <v>161</v>
      </c>
      <c r="B398" s="2" t="s">
        <v>150</v>
      </c>
      <c r="C398" s="2" t="s">
        <v>31</v>
      </c>
      <c r="D398" s="2" t="s">
        <v>17</v>
      </c>
      <c r="E398" s="2">
        <v>67</v>
      </c>
      <c r="F398" s="2">
        <v>16750</v>
      </c>
      <c r="G398" s="2">
        <v>6201</v>
      </c>
      <c r="H398" s="2">
        <v>5</v>
      </c>
      <c r="I398" s="2">
        <v>46</v>
      </c>
      <c r="J398" s="2">
        <v>1</v>
      </c>
      <c r="K398" s="2">
        <v>4.5</v>
      </c>
      <c r="L398" s="3">
        <f t="shared" si="18"/>
        <v>0.37020895522388059</v>
      </c>
      <c r="M398" s="4">
        <f t="shared" si="19"/>
        <v>250</v>
      </c>
      <c r="N398" s="2">
        <f t="shared" si="20"/>
        <v>13.4</v>
      </c>
    </row>
    <row r="399" spans="1:14" x14ac:dyDescent="0.25">
      <c r="A399" s="5" t="s">
        <v>161</v>
      </c>
      <c r="B399" s="5" t="s">
        <v>150</v>
      </c>
      <c r="C399" s="5" t="s">
        <v>31</v>
      </c>
      <c r="D399" s="5" t="s">
        <v>18</v>
      </c>
      <c r="E399" s="5">
        <v>189</v>
      </c>
      <c r="F399" s="5">
        <v>63882</v>
      </c>
      <c r="G399" s="5">
        <v>26793</v>
      </c>
      <c r="H399" s="5">
        <v>8</v>
      </c>
      <c r="I399" s="5">
        <v>52</v>
      </c>
      <c r="J399" s="5">
        <v>2</v>
      </c>
      <c r="K399" s="5">
        <v>4</v>
      </c>
      <c r="L399" s="6">
        <f t="shared" si="18"/>
        <v>0.41941391941391942</v>
      </c>
      <c r="M399" s="7">
        <f t="shared" si="19"/>
        <v>338</v>
      </c>
      <c r="N399" s="5">
        <f t="shared" si="20"/>
        <v>23.625</v>
      </c>
    </row>
    <row r="400" spans="1:14" x14ac:dyDescent="0.25">
      <c r="A400" s="2" t="s">
        <v>161</v>
      </c>
      <c r="B400" s="2" t="s">
        <v>150</v>
      </c>
      <c r="C400" s="2" t="s">
        <v>31</v>
      </c>
      <c r="D400" s="2" t="s">
        <v>19</v>
      </c>
      <c r="E400" s="2">
        <v>58</v>
      </c>
      <c r="F400" s="2">
        <v>20010</v>
      </c>
      <c r="G400" s="2">
        <v>6039</v>
      </c>
      <c r="H400" s="2">
        <v>7</v>
      </c>
      <c r="I400" s="2">
        <v>65</v>
      </c>
      <c r="J400" s="2">
        <v>2</v>
      </c>
      <c r="K400" s="2">
        <v>4.4000000000000004</v>
      </c>
      <c r="L400" s="3">
        <f t="shared" si="18"/>
        <v>0.30179910044977509</v>
      </c>
      <c r="M400" s="4">
        <f t="shared" si="19"/>
        <v>345</v>
      </c>
      <c r="N400" s="2">
        <f t="shared" si="20"/>
        <v>8.2857142857142865</v>
      </c>
    </row>
    <row r="401" spans="1:14" x14ac:dyDescent="0.25">
      <c r="A401" s="5" t="s">
        <v>162</v>
      </c>
      <c r="B401" s="5" t="s">
        <v>150</v>
      </c>
      <c r="C401" s="5" t="s">
        <v>16</v>
      </c>
      <c r="D401" s="5" t="s">
        <v>17</v>
      </c>
      <c r="E401" s="5">
        <v>23</v>
      </c>
      <c r="F401" s="5">
        <v>5980</v>
      </c>
      <c r="G401" s="5">
        <v>1985</v>
      </c>
      <c r="H401" s="5">
        <v>5</v>
      </c>
      <c r="I401" s="5">
        <v>45</v>
      </c>
      <c r="J401" s="5">
        <v>1</v>
      </c>
      <c r="K401" s="5">
        <v>4.4000000000000004</v>
      </c>
      <c r="L401" s="6">
        <f t="shared" si="18"/>
        <v>0.33193979933110368</v>
      </c>
      <c r="M401" s="7">
        <f t="shared" si="19"/>
        <v>260</v>
      </c>
      <c r="N401" s="5">
        <f t="shared" si="20"/>
        <v>4.5999999999999996</v>
      </c>
    </row>
    <row r="402" spans="1:14" x14ac:dyDescent="0.25">
      <c r="A402" s="2" t="s">
        <v>162</v>
      </c>
      <c r="B402" s="2" t="s">
        <v>150</v>
      </c>
      <c r="C402" s="2" t="s">
        <v>16</v>
      </c>
      <c r="D402" s="2" t="s">
        <v>18</v>
      </c>
      <c r="E402" s="2">
        <v>44</v>
      </c>
      <c r="F402" s="2">
        <v>13948</v>
      </c>
      <c r="G402" s="2">
        <v>4552</v>
      </c>
      <c r="H402" s="2">
        <v>8</v>
      </c>
      <c r="I402" s="2">
        <v>73</v>
      </c>
      <c r="J402" s="2">
        <v>2</v>
      </c>
      <c r="K402" s="2">
        <v>4.5</v>
      </c>
      <c r="L402" s="3">
        <f t="shared" si="18"/>
        <v>0.32635503297963864</v>
      </c>
      <c r="M402" s="4">
        <f t="shared" si="19"/>
        <v>317</v>
      </c>
      <c r="N402" s="2">
        <f t="shared" si="20"/>
        <v>5.5</v>
      </c>
    </row>
    <row r="403" spans="1:14" x14ac:dyDescent="0.25">
      <c r="A403" s="5" t="s">
        <v>162</v>
      </c>
      <c r="B403" s="5" t="s">
        <v>150</v>
      </c>
      <c r="C403" s="5" t="s">
        <v>16</v>
      </c>
      <c r="D403" s="5" t="s">
        <v>19</v>
      </c>
      <c r="E403" s="5">
        <v>39</v>
      </c>
      <c r="F403" s="5">
        <v>12051</v>
      </c>
      <c r="G403" s="5">
        <v>4292</v>
      </c>
      <c r="H403" s="5">
        <v>5</v>
      </c>
      <c r="I403" s="5">
        <v>45</v>
      </c>
      <c r="J403" s="5">
        <v>0</v>
      </c>
      <c r="K403" s="5">
        <v>3.8</v>
      </c>
      <c r="L403" s="6">
        <f t="shared" si="18"/>
        <v>0.3561530163471911</v>
      </c>
      <c r="M403" s="7">
        <f t="shared" si="19"/>
        <v>309</v>
      </c>
      <c r="N403" s="5">
        <f t="shared" si="20"/>
        <v>7.8</v>
      </c>
    </row>
    <row r="404" spans="1:14" x14ac:dyDescent="0.25">
      <c r="A404" s="2" t="s">
        <v>163</v>
      </c>
      <c r="B404" s="2" t="s">
        <v>150</v>
      </c>
      <c r="C404" s="2" t="s">
        <v>21</v>
      </c>
      <c r="D404" s="2" t="s">
        <v>17</v>
      </c>
      <c r="E404" s="2">
        <v>32</v>
      </c>
      <c r="F404" s="2">
        <v>7488</v>
      </c>
      <c r="G404" s="2">
        <v>2759</v>
      </c>
      <c r="H404" s="2">
        <v>4</v>
      </c>
      <c r="I404" s="2">
        <v>54</v>
      </c>
      <c r="J404" s="2">
        <v>0</v>
      </c>
      <c r="K404" s="2">
        <v>4.2</v>
      </c>
      <c r="L404" s="3">
        <f t="shared" si="18"/>
        <v>0.3684561965811966</v>
      </c>
      <c r="M404" s="4">
        <f t="shared" si="19"/>
        <v>234</v>
      </c>
      <c r="N404" s="2">
        <f t="shared" si="20"/>
        <v>8</v>
      </c>
    </row>
    <row r="405" spans="1:14" x14ac:dyDescent="0.25">
      <c r="A405" s="5" t="s">
        <v>163</v>
      </c>
      <c r="B405" s="5" t="s">
        <v>150</v>
      </c>
      <c r="C405" s="5" t="s">
        <v>21</v>
      </c>
      <c r="D405" s="5" t="s">
        <v>18</v>
      </c>
      <c r="E405" s="5">
        <v>108</v>
      </c>
      <c r="F405" s="5">
        <v>31536</v>
      </c>
      <c r="G405" s="5">
        <v>12120</v>
      </c>
      <c r="H405" s="5">
        <v>8</v>
      </c>
      <c r="I405" s="5">
        <v>52</v>
      </c>
      <c r="J405" s="5">
        <v>0</v>
      </c>
      <c r="K405" s="5">
        <v>4.3</v>
      </c>
      <c r="L405" s="6">
        <f t="shared" si="18"/>
        <v>0.38432267884322679</v>
      </c>
      <c r="M405" s="7">
        <f t="shared" si="19"/>
        <v>292</v>
      </c>
      <c r="N405" s="5">
        <f t="shared" si="20"/>
        <v>13.5</v>
      </c>
    </row>
    <row r="406" spans="1:14" x14ac:dyDescent="0.25">
      <c r="A406" s="2" t="s">
        <v>163</v>
      </c>
      <c r="B406" s="2" t="s">
        <v>150</v>
      </c>
      <c r="C406" s="2" t="s">
        <v>21</v>
      </c>
      <c r="D406" s="2" t="s">
        <v>19</v>
      </c>
      <c r="E406" s="2">
        <v>47</v>
      </c>
      <c r="F406" s="2">
        <v>13019</v>
      </c>
      <c r="G406" s="2">
        <v>4501</v>
      </c>
      <c r="H406" s="2">
        <v>5</v>
      </c>
      <c r="I406" s="2">
        <v>58</v>
      </c>
      <c r="J406" s="2">
        <v>1</v>
      </c>
      <c r="K406" s="2">
        <v>4.0999999999999996</v>
      </c>
      <c r="L406" s="3">
        <f t="shared" si="18"/>
        <v>0.34572547814732313</v>
      </c>
      <c r="M406" s="4">
        <f t="shared" si="19"/>
        <v>277</v>
      </c>
      <c r="N406" s="2">
        <f t="shared" si="20"/>
        <v>9.4</v>
      </c>
    </row>
    <row r="407" spans="1:14" x14ac:dyDescent="0.25">
      <c r="A407" s="5" t="s">
        <v>164</v>
      </c>
      <c r="B407" s="5" t="s">
        <v>150</v>
      </c>
      <c r="C407" s="5" t="s">
        <v>23</v>
      </c>
      <c r="D407" s="5" t="s">
        <v>17</v>
      </c>
      <c r="E407" s="5">
        <v>44</v>
      </c>
      <c r="F407" s="5">
        <v>9240</v>
      </c>
      <c r="G407" s="5">
        <v>2907</v>
      </c>
      <c r="H407" s="5">
        <v>4</v>
      </c>
      <c r="I407" s="5">
        <v>47</v>
      </c>
      <c r="J407" s="5">
        <v>1</v>
      </c>
      <c r="K407" s="5">
        <v>4.0999999999999996</v>
      </c>
      <c r="L407" s="6">
        <f t="shared" si="18"/>
        <v>0.31461038961038962</v>
      </c>
      <c r="M407" s="7">
        <f t="shared" si="19"/>
        <v>210</v>
      </c>
      <c r="N407" s="5">
        <f t="shared" si="20"/>
        <v>11</v>
      </c>
    </row>
    <row r="408" spans="1:14" x14ac:dyDescent="0.25">
      <c r="A408" s="2" t="s">
        <v>164</v>
      </c>
      <c r="B408" s="2" t="s">
        <v>150</v>
      </c>
      <c r="C408" s="2" t="s">
        <v>23</v>
      </c>
      <c r="D408" s="2" t="s">
        <v>18</v>
      </c>
      <c r="E408" s="2">
        <v>96</v>
      </c>
      <c r="F408" s="2">
        <v>45408</v>
      </c>
      <c r="G408" s="2">
        <v>16800</v>
      </c>
      <c r="H408" s="2">
        <v>10</v>
      </c>
      <c r="I408" s="2">
        <v>50</v>
      </c>
      <c r="J408" s="2">
        <v>2</v>
      </c>
      <c r="K408" s="2">
        <v>4</v>
      </c>
      <c r="L408" s="3">
        <f t="shared" si="18"/>
        <v>0.3699788583509514</v>
      </c>
      <c r="M408" s="4">
        <f t="shared" si="19"/>
        <v>473</v>
      </c>
      <c r="N408" s="2">
        <f t="shared" si="20"/>
        <v>9.6</v>
      </c>
    </row>
    <row r="409" spans="1:14" x14ac:dyDescent="0.25">
      <c r="A409" s="5" t="s">
        <v>164</v>
      </c>
      <c r="B409" s="5" t="s">
        <v>150</v>
      </c>
      <c r="C409" s="5" t="s">
        <v>23</v>
      </c>
      <c r="D409" s="5" t="s">
        <v>19</v>
      </c>
      <c r="E409" s="5">
        <v>61</v>
      </c>
      <c r="F409" s="5">
        <v>16409</v>
      </c>
      <c r="G409" s="5">
        <v>5557</v>
      </c>
      <c r="H409" s="5">
        <v>6</v>
      </c>
      <c r="I409" s="5">
        <v>61</v>
      </c>
      <c r="J409" s="5">
        <v>3</v>
      </c>
      <c r="K409" s="5">
        <v>4.2</v>
      </c>
      <c r="L409" s="6">
        <f t="shared" si="18"/>
        <v>0.33865561582058629</v>
      </c>
      <c r="M409" s="7">
        <f t="shared" si="19"/>
        <v>269</v>
      </c>
      <c r="N409" s="5">
        <f t="shared" si="20"/>
        <v>10.166666666666666</v>
      </c>
    </row>
    <row r="410" spans="1:14" x14ac:dyDescent="0.25">
      <c r="A410" s="2" t="s">
        <v>165</v>
      </c>
      <c r="B410" s="2" t="s">
        <v>150</v>
      </c>
      <c r="C410" s="2" t="s">
        <v>25</v>
      </c>
      <c r="D410" s="2" t="s">
        <v>17</v>
      </c>
      <c r="E410" s="2">
        <v>42</v>
      </c>
      <c r="F410" s="2">
        <v>9492</v>
      </c>
      <c r="G410" s="2">
        <v>3819</v>
      </c>
      <c r="H410" s="2">
        <v>5</v>
      </c>
      <c r="I410" s="2">
        <v>46</v>
      </c>
      <c r="J410" s="2">
        <v>0</v>
      </c>
      <c r="K410" s="2">
        <v>3.9</v>
      </c>
      <c r="L410" s="3">
        <f t="shared" si="18"/>
        <v>0.402338811630847</v>
      </c>
      <c r="M410" s="4">
        <f t="shared" si="19"/>
        <v>226</v>
      </c>
      <c r="N410" s="2">
        <f t="shared" si="20"/>
        <v>8.4</v>
      </c>
    </row>
    <row r="411" spans="1:14" x14ac:dyDescent="0.25">
      <c r="A411" s="5" t="s">
        <v>165</v>
      </c>
      <c r="B411" s="5" t="s">
        <v>150</v>
      </c>
      <c r="C411" s="5" t="s">
        <v>25</v>
      </c>
      <c r="D411" s="5" t="s">
        <v>18</v>
      </c>
      <c r="E411" s="5">
        <v>68</v>
      </c>
      <c r="F411" s="5">
        <v>30260</v>
      </c>
      <c r="G411" s="5">
        <v>10425</v>
      </c>
      <c r="H411" s="5">
        <v>6</v>
      </c>
      <c r="I411" s="5">
        <v>68</v>
      </c>
      <c r="J411" s="5">
        <v>0</v>
      </c>
      <c r="K411" s="5">
        <v>3.8</v>
      </c>
      <c r="L411" s="6">
        <f t="shared" si="18"/>
        <v>0.34451421017845341</v>
      </c>
      <c r="M411" s="7">
        <f t="shared" si="19"/>
        <v>445</v>
      </c>
      <c r="N411" s="5">
        <f t="shared" si="20"/>
        <v>11.333333333333334</v>
      </c>
    </row>
    <row r="412" spans="1:14" x14ac:dyDescent="0.25">
      <c r="A412" s="2" t="s">
        <v>165</v>
      </c>
      <c r="B412" s="2" t="s">
        <v>150</v>
      </c>
      <c r="C412" s="2" t="s">
        <v>25</v>
      </c>
      <c r="D412" s="2" t="s">
        <v>19</v>
      </c>
      <c r="E412" s="2">
        <v>32</v>
      </c>
      <c r="F412" s="2">
        <v>6848</v>
      </c>
      <c r="G412" s="2">
        <v>2083</v>
      </c>
      <c r="H412" s="2">
        <v>4</v>
      </c>
      <c r="I412" s="2">
        <v>60</v>
      </c>
      <c r="J412" s="2">
        <v>1</v>
      </c>
      <c r="K412" s="2">
        <v>4</v>
      </c>
      <c r="L412" s="3">
        <f t="shared" si="18"/>
        <v>0.3041764018691589</v>
      </c>
      <c r="M412" s="4">
        <f t="shared" si="19"/>
        <v>214</v>
      </c>
      <c r="N412" s="2">
        <f t="shared" si="20"/>
        <v>8</v>
      </c>
    </row>
    <row r="413" spans="1:14" x14ac:dyDescent="0.25">
      <c r="A413" s="5" t="s">
        <v>166</v>
      </c>
      <c r="B413" s="5" t="s">
        <v>150</v>
      </c>
      <c r="C413" s="5" t="s">
        <v>27</v>
      </c>
      <c r="D413" s="5" t="s">
        <v>17</v>
      </c>
      <c r="E413" s="5">
        <v>46</v>
      </c>
      <c r="F413" s="5">
        <v>8464</v>
      </c>
      <c r="G413" s="5">
        <v>2454</v>
      </c>
      <c r="H413" s="5">
        <v>3</v>
      </c>
      <c r="I413" s="5">
        <v>50</v>
      </c>
      <c r="J413" s="5">
        <v>1</v>
      </c>
      <c r="K413" s="5">
        <v>4.4000000000000004</v>
      </c>
      <c r="L413" s="6">
        <f t="shared" si="18"/>
        <v>0.28993383742911155</v>
      </c>
      <c r="M413" s="7">
        <f t="shared" si="19"/>
        <v>184</v>
      </c>
      <c r="N413" s="5">
        <f t="shared" si="20"/>
        <v>15.333333333333334</v>
      </c>
    </row>
    <row r="414" spans="1:14" x14ac:dyDescent="0.25">
      <c r="A414" s="2" t="s">
        <v>166</v>
      </c>
      <c r="B414" s="2" t="s">
        <v>150</v>
      </c>
      <c r="C414" s="2" t="s">
        <v>27</v>
      </c>
      <c r="D414" s="2" t="s">
        <v>18</v>
      </c>
      <c r="E414" s="2">
        <v>132</v>
      </c>
      <c r="F414" s="2">
        <v>51084</v>
      </c>
      <c r="G414" s="2">
        <v>15453</v>
      </c>
      <c r="H414" s="2">
        <v>8</v>
      </c>
      <c r="I414" s="2">
        <v>58</v>
      </c>
      <c r="J414" s="2">
        <v>2</v>
      </c>
      <c r="K414" s="2">
        <v>4.3</v>
      </c>
      <c r="L414" s="3">
        <f t="shared" si="18"/>
        <v>0.30250176180408739</v>
      </c>
      <c r="M414" s="4">
        <f t="shared" si="19"/>
        <v>387</v>
      </c>
      <c r="N414" s="2">
        <f t="shared" si="20"/>
        <v>16.5</v>
      </c>
    </row>
    <row r="415" spans="1:14" x14ac:dyDescent="0.25">
      <c r="A415" s="5" t="s">
        <v>166</v>
      </c>
      <c r="B415" s="5" t="s">
        <v>150</v>
      </c>
      <c r="C415" s="5" t="s">
        <v>27</v>
      </c>
      <c r="D415" s="5" t="s">
        <v>19</v>
      </c>
      <c r="E415" s="5">
        <v>86</v>
      </c>
      <c r="F415" s="5">
        <v>19006</v>
      </c>
      <c r="G415" s="5">
        <v>6187</v>
      </c>
      <c r="H415" s="5">
        <v>5</v>
      </c>
      <c r="I415" s="5">
        <v>51</v>
      </c>
      <c r="J415" s="5">
        <v>3</v>
      </c>
      <c r="K415" s="5">
        <v>3.7</v>
      </c>
      <c r="L415" s="6">
        <f t="shared" si="18"/>
        <v>0.32552878038514155</v>
      </c>
      <c r="M415" s="7">
        <f t="shared" si="19"/>
        <v>221</v>
      </c>
      <c r="N415" s="5">
        <f t="shared" si="20"/>
        <v>17.2</v>
      </c>
    </row>
    <row r="416" spans="1:14" x14ac:dyDescent="0.25">
      <c r="A416" s="2" t="s">
        <v>167</v>
      </c>
      <c r="B416" s="2" t="s">
        <v>150</v>
      </c>
      <c r="C416" s="2" t="s">
        <v>29</v>
      </c>
      <c r="D416" s="2" t="s">
        <v>17</v>
      </c>
      <c r="E416" s="2">
        <v>53</v>
      </c>
      <c r="F416" s="2">
        <v>9540</v>
      </c>
      <c r="G416" s="2">
        <v>3878</v>
      </c>
      <c r="H416" s="2">
        <v>4</v>
      </c>
      <c r="I416" s="2">
        <v>46</v>
      </c>
      <c r="J416" s="2">
        <v>2</v>
      </c>
      <c r="K416" s="2">
        <v>3.9</v>
      </c>
      <c r="L416" s="3">
        <f t="shared" si="18"/>
        <v>0.40649895178197065</v>
      </c>
      <c r="M416" s="4">
        <f t="shared" si="19"/>
        <v>180</v>
      </c>
      <c r="N416" s="2">
        <f t="shared" si="20"/>
        <v>13.25</v>
      </c>
    </row>
    <row r="417" spans="1:14" x14ac:dyDescent="0.25">
      <c r="A417" s="5" t="s">
        <v>167</v>
      </c>
      <c r="B417" s="5" t="s">
        <v>150</v>
      </c>
      <c r="C417" s="5" t="s">
        <v>29</v>
      </c>
      <c r="D417" s="5" t="s">
        <v>18</v>
      </c>
      <c r="E417" s="5">
        <v>172</v>
      </c>
      <c r="F417" s="5">
        <v>56588</v>
      </c>
      <c r="G417" s="5">
        <v>21666</v>
      </c>
      <c r="H417" s="5">
        <v>8</v>
      </c>
      <c r="I417" s="5">
        <v>57</v>
      </c>
      <c r="J417" s="5">
        <v>1</v>
      </c>
      <c r="K417" s="5">
        <v>4.0999999999999996</v>
      </c>
      <c r="L417" s="6">
        <f t="shared" si="18"/>
        <v>0.3828726938573549</v>
      </c>
      <c r="M417" s="7">
        <f t="shared" si="19"/>
        <v>329</v>
      </c>
      <c r="N417" s="5">
        <f t="shared" si="20"/>
        <v>21.5</v>
      </c>
    </row>
    <row r="418" spans="1:14" x14ac:dyDescent="0.25">
      <c r="A418" s="2" t="s">
        <v>167</v>
      </c>
      <c r="B418" s="2" t="s">
        <v>150</v>
      </c>
      <c r="C418" s="2" t="s">
        <v>29</v>
      </c>
      <c r="D418" s="2" t="s">
        <v>19</v>
      </c>
      <c r="E418" s="2">
        <v>67</v>
      </c>
      <c r="F418" s="2">
        <v>15946</v>
      </c>
      <c r="G418" s="2">
        <v>5098</v>
      </c>
      <c r="H418" s="2">
        <v>4</v>
      </c>
      <c r="I418" s="2">
        <v>58</v>
      </c>
      <c r="J418" s="2">
        <v>0</v>
      </c>
      <c r="K418" s="2">
        <v>3.8</v>
      </c>
      <c r="L418" s="3">
        <f t="shared" si="18"/>
        <v>0.31970400100338642</v>
      </c>
      <c r="M418" s="4">
        <f t="shared" si="19"/>
        <v>238</v>
      </c>
      <c r="N418" s="2">
        <f t="shared" si="20"/>
        <v>16.75</v>
      </c>
    </row>
    <row r="419" spans="1:14" x14ac:dyDescent="0.25">
      <c r="A419" s="5" t="s">
        <v>168</v>
      </c>
      <c r="B419" s="5" t="s">
        <v>150</v>
      </c>
      <c r="C419" s="5" t="s">
        <v>31</v>
      </c>
      <c r="D419" s="5" t="s">
        <v>17</v>
      </c>
      <c r="E419" s="5">
        <v>59</v>
      </c>
      <c r="F419" s="5">
        <v>15281</v>
      </c>
      <c r="G419" s="5">
        <v>5104</v>
      </c>
      <c r="H419" s="5">
        <v>5</v>
      </c>
      <c r="I419" s="5">
        <v>40</v>
      </c>
      <c r="J419" s="5">
        <v>2</v>
      </c>
      <c r="K419" s="5">
        <v>4.4000000000000004</v>
      </c>
      <c r="L419" s="6">
        <f t="shared" si="18"/>
        <v>0.33400955434853741</v>
      </c>
      <c r="M419" s="7">
        <f t="shared" si="19"/>
        <v>259</v>
      </c>
      <c r="N419" s="5">
        <f t="shared" si="20"/>
        <v>11.8</v>
      </c>
    </row>
    <row r="420" spans="1:14" x14ac:dyDescent="0.25">
      <c r="A420" s="2" t="s">
        <v>168</v>
      </c>
      <c r="B420" s="2" t="s">
        <v>150</v>
      </c>
      <c r="C420" s="2" t="s">
        <v>31</v>
      </c>
      <c r="D420" s="2" t="s">
        <v>18</v>
      </c>
      <c r="E420" s="2">
        <v>167</v>
      </c>
      <c r="F420" s="2">
        <v>62458</v>
      </c>
      <c r="G420" s="2">
        <v>25028</v>
      </c>
      <c r="H420" s="2">
        <v>9</v>
      </c>
      <c r="I420" s="2">
        <v>51</v>
      </c>
      <c r="J420" s="2">
        <v>4</v>
      </c>
      <c r="K420" s="2">
        <v>3.6</v>
      </c>
      <c r="L420" s="3">
        <f t="shared" si="18"/>
        <v>0.40071728201351309</v>
      </c>
      <c r="M420" s="4">
        <f t="shared" si="19"/>
        <v>374</v>
      </c>
      <c r="N420" s="2">
        <f t="shared" si="20"/>
        <v>18.555555555555557</v>
      </c>
    </row>
    <row r="421" spans="1:14" x14ac:dyDescent="0.25">
      <c r="A421" s="5" t="s">
        <v>168</v>
      </c>
      <c r="B421" s="5" t="s">
        <v>150</v>
      </c>
      <c r="C421" s="5" t="s">
        <v>31</v>
      </c>
      <c r="D421" s="5" t="s">
        <v>19</v>
      </c>
      <c r="E421" s="5">
        <v>55</v>
      </c>
      <c r="F421" s="5">
        <v>13860</v>
      </c>
      <c r="G421" s="5">
        <v>4708</v>
      </c>
      <c r="H421" s="5">
        <v>4</v>
      </c>
      <c r="I421" s="5">
        <v>62</v>
      </c>
      <c r="J421" s="5">
        <v>2</v>
      </c>
      <c r="K421" s="5">
        <v>4.5</v>
      </c>
      <c r="L421" s="6">
        <f t="shared" si="18"/>
        <v>0.3396825396825397</v>
      </c>
      <c r="M421" s="7">
        <f t="shared" si="19"/>
        <v>252</v>
      </c>
      <c r="N421" s="5">
        <f t="shared" si="20"/>
        <v>13.75</v>
      </c>
    </row>
    <row r="422" spans="1:14" x14ac:dyDescent="0.25">
      <c r="A422" s="2" t="s">
        <v>169</v>
      </c>
      <c r="B422" s="2" t="s">
        <v>150</v>
      </c>
      <c r="C422" s="2" t="s">
        <v>16</v>
      </c>
      <c r="D422" s="2" t="s">
        <v>17</v>
      </c>
      <c r="E422" s="2">
        <v>25</v>
      </c>
      <c r="F422" s="2">
        <v>6325</v>
      </c>
      <c r="G422" s="2">
        <v>1980</v>
      </c>
      <c r="H422" s="2">
        <v>5</v>
      </c>
      <c r="I422" s="2">
        <v>54</v>
      </c>
      <c r="J422" s="2">
        <v>2</v>
      </c>
      <c r="K422" s="2">
        <v>4.0999999999999996</v>
      </c>
      <c r="L422" s="3">
        <f t="shared" si="18"/>
        <v>0.31304347826086959</v>
      </c>
      <c r="M422" s="4">
        <f t="shared" si="19"/>
        <v>253</v>
      </c>
      <c r="N422" s="2">
        <f t="shared" si="20"/>
        <v>5</v>
      </c>
    </row>
    <row r="423" spans="1:14" x14ac:dyDescent="0.25">
      <c r="A423" s="5" t="s">
        <v>169</v>
      </c>
      <c r="B423" s="5" t="s">
        <v>150</v>
      </c>
      <c r="C423" s="5" t="s">
        <v>16</v>
      </c>
      <c r="D423" s="5" t="s">
        <v>18</v>
      </c>
      <c r="E423" s="5">
        <v>51</v>
      </c>
      <c r="F423" s="5">
        <v>16167</v>
      </c>
      <c r="G423" s="5">
        <v>6288</v>
      </c>
      <c r="H423" s="5">
        <v>10</v>
      </c>
      <c r="I423" s="5">
        <v>54</v>
      </c>
      <c r="J423" s="5">
        <v>0</v>
      </c>
      <c r="K423" s="5">
        <v>3.6</v>
      </c>
      <c r="L423" s="6">
        <f t="shared" si="18"/>
        <v>0.38894043421785118</v>
      </c>
      <c r="M423" s="7">
        <f t="shared" si="19"/>
        <v>317</v>
      </c>
      <c r="N423" s="5">
        <f t="shared" si="20"/>
        <v>5.0999999999999996</v>
      </c>
    </row>
    <row r="424" spans="1:14" x14ac:dyDescent="0.25">
      <c r="A424" s="2" t="s">
        <v>169</v>
      </c>
      <c r="B424" s="2" t="s">
        <v>150</v>
      </c>
      <c r="C424" s="2" t="s">
        <v>16</v>
      </c>
      <c r="D424" s="2" t="s">
        <v>19</v>
      </c>
      <c r="E424" s="2">
        <v>35</v>
      </c>
      <c r="F424" s="2">
        <v>9625</v>
      </c>
      <c r="G424" s="2">
        <v>3086</v>
      </c>
      <c r="H424" s="2">
        <v>7</v>
      </c>
      <c r="I424" s="2">
        <v>56</v>
      </c>
      <c r="J424" s="2">
        <v>3</v>
      </c>
      <c r="K424" s="2">
        <v>4.0999999999999996</v>
      </c>
      <c r="L424" s="3">
        <f t="shared" si="18"/>
        <v>0.32062337662337664</v>
      </c>
      <c r="M424" s="4">
        <f t="shared" si="19"/>
        <v>275</v>
      </c>
      <c r="N424" s="2">
        <f t="shared" si="20"/>
        <v>5</v>
      </c>
    </row>
    <row r="425" spans="1:14" x14ac:dyDescent="0.25">
      <c r="A425" s="5" t="s">
        <v>170</v>
      </c>
      <c r="B425" s="5" t="s">
        <v>150</v>
      </c>
      <c r="C425" s="5" t="s">
        <v>21</v>
      </c>
      <c r="D425" s="5" t="s">
        <v>17</v>
      </c>
      <c r="E425" s="5">
        <v>20</v>
      </c>
      <c r="F425" s="5">
        <v>3940</v>
      </c>
      <c r="G425" s="5">
        <v>1193</v>
      </c>
      <c r="H425" s="5">
        <v>5</v>
      </c>
      <c r="I425" s="5">
        <v>51</v>
      </c>
      <c r="J425" s="5">
        <v>2</v>
      </c>
      <c r="K425" s="5">
        <v>4.2</v>
      </c>
      <c r="L425" s="6">
        <f t="shared" si="18"/>
        <v>0.30279187817258885</v>
      </c>
      <c r="M425" s="7">
        <f t="shared" si="19"/>
        <v>197</v>
      </c>
      <c r="N425" s="5">
        <f t="shared" si="20"/>
        <v>4</v>
      </c>
    </row>
    <row r="426" spans="1:14" x14ac:dyDescent="0.25">
      <c r="A426" s="2" t="s">
        <v>170</v>
      </c>
      <c r="B426" s="2" t="s">
        <v>150</v>
      </c>
      <c r="C426" s="2" t="s">
        <v>21</v>
      </c>
      <c r="D426" s="2" t="s">
        <v>18</v>
      </c>
      <c r="E426" s="2">
        <v>45</v>
      </c>
      <c r="F426" s="2">
        <v>18675</v>
      </c>
      <c r="G426" s="2">
        <v>5725</v>
      </c>
      <c r="H426" s="2">
        <v>10</v>
      </c>
      <c r="I426" s="2">
        <v>70</v>
      </c>
      <c r="J426" s="2">
        <v>2</v>
      </c>
      <c r="K426" s="2">
        <v>4.5999999999999996</v>
      </c>
      <c r="L426" s="3">
        <f t="shared" si="18"/>
        <v>0.30655957161981257</v>
      </c>
      <c r="M426" s="4">
        <f t="shared" si="19"/>
        <v>415</v>
      </c>
      <c r="N426" s="2">
        <f t="shared" si="20"/>
        <v>4.5</v>
      </c>
    </row>
    <row r="427" spans="1:14" x14ac:dyDescent="0.25">
      <c r="A427" s="5" t="s">
        <v>170</v>
      </c>
      <c r="B427" s="5" t="s">
        <v>150</v>
      </c>
      <c r="C427" s="5" t="s">
        <v>21</v>
      </c>
      <c r="D427" s="5" t="s">
        <v>19</v>
      </c>
      <c r="E427" s="5">
        <v>52</v>
      </c>
      <c r="F427" s="5">
        <v>17732</v>
      </c>
      <c r="G427" s="5">
        <v>6624</v>
      </c>
      <c r="H427" s="5">
        <v>4</v>
      </c>
      <c r="I427" s="5">
        <v>46</v>
      </c>
      <c r="J427" s="5">
        <v>2</v>
      </c>
      <c r="K427" s="5">
        <v>3.9</v>
      </c>
      <c r="L427" s="6">
        <f t="shared" si="18"/>
        <v>0.37356192194901872</v>
      </c>
      <c r="M427" s="7">
        <f t="shared" si="19"/>
        <v>341</v>
      </c>
      <c r="N427" s="5">
        <f t="shared" si="20"/>
        <v>13</v>
      </c>
    </row>
    <row r="428" spans="1:14" x14ac:dyDescent="0.25">
      <c r="A428" s="2" t="s">
        <v>171</v>
      </c>
      <c r="B428" s="2" t="s">
        <v>150</v>
      </c>
      <c r="C428" s="2" t="s">
        <v>23</v>
      </c>
      <c r="D428" s="2" t="s">
        <v>17</v>
      </c>
      <c r="E428" s="2">
        <v>35</v>
      </c>
      <c r="F428" s="2">
        <v>8435</v>
      </c>
      <c r="G428" s="2">
        <v>3387</v>
      </c>
      <c r="H428" s="2">
        <v>4</v>
      </c>
      <c r="I428" s="2">
        <v>46</v>
      </c>
      <c r="J428" s="2">
        <v>0</v>
      </c>
      <c r="K428" s="2">
        <v>4.4000000000000004</v>
      </c>
      <c r="L428" s="3">
        <f t="shared" si="18"/>
        <v>0.40154119739181982</v>
      </c>
      <c r="M428" s="4">
        <f t="shared" si="19"/>
        <v>241</v>
      </c>
      <c r="N428" s="2">
        <f t="shared" si="20"/>
        <v>8.75</v>
      </c>
    </row>
    <row r="429" spans="1:14" x14ac:dyDescent="0.25">
      <c r="A429" s="5" t="s">
        <v>171</v>
      </c>
      <c r="B429" s="5" t="s">
        <v>150</v>
      </c>
      <c r="C429" s="5" t="s">
        <v>23</v>
      </c>
      <c r="D429" s="5" t="s">
        <v>18</v>
      </c>
      <c r="E429" s="5">
        <v>76</v>
      </c>
      <c r="F429" s="5">
        <v>29336</v>
      </c>
      <c r="G429" s="5">
        <v>10976</v>
      </c>
      <c r="H429" s="5">
        <v>7</v>
      </c>
      <c r="I429" s="5">
        <v>45</v>
      </c>
      <c r="J429" s="5">
        <v>3</v>
      </c>
      <c r="K429" s="5">
        <v>3.9</v>
      </c>
      <c r="L429" s="6">
        <f t="shared" si="18"/>
        <v>0.37414780474502318</v>
      </c>
      <c r="M429" s="7">
        <f t="shared" si="19"/>
        <v>386</v>
      </c>
      <c r="N429" s="5">
        <f t="shared" si="20"/>
        <v>10.857142857142858</v>
      </c>
    </row>
    <row r="430" spans="1:14" x14ac:dyDescent="0.25">
      <c r="A430" s="2" t="s">
        <v>171</v>
      </c>
      <c r="B430" s="2" t="s">
        <v>150</v>
      </c>
      <c r="C430" s="2" t="s">
        <v>23</v>
      </c>
      <c r="D430" s="2" t="s">
        <v>19</v>
      </c>
      <c r="E430" s="2">
        <v>28</v>
      </c>
      <c r="F430" s="2">
        <v>8512</v>
      </c>
      <c r="G430" s="2">
        <v>3500</v>
      </c>
      <c r="H430" s="2">
        <v>4</v>
      </c>
      <c r="I430" s="2">
        <v>47</v>
      </c>
      <c r="J430" s="2">
        <v>1</v>
      </c>
      <c r="K430" s="2">
        <v>4.0999999999999996</v>
      </c>
      <c r="L430" s="3">
        <f t="shared" si="18"/>
        <v>0.41118421052631576</v>
      </c>
      <c r="M430" s="4">
        <f t="shared" si="19"/>
        <v>304</v>
      </c>
      <c r="N430" s="2">
        <f t="shared" si="20"/>
        <v>7</v>
      </c>
    </row>
    <row r="431" spans="1:14" x14ac:dyDescent="0.25">
      <c r="A431" s="5" t="s">
        <v>172</v>
      </c>
      <c r="B431" s="5" t="s">
        <v>150</v>
      </c>
      <c r="C431" s="5" t="s">
        <v>25</v>
      </c>
      <c r="D431" s="5" t="s">
        <v>17</v>
      </c>
      <c r="E431" s="5">
        <v>17</v>
      </c>
      <c r="F431" s="5">
        <v>3451</v>
      </c>
      <c r="G431" s="5">
        <v>1436</v>
      </c>
      <c r="H431" s="5">
        <v>5</v>
      </c>
      <c r="I431" s="5">
        <v>45</v>
      </c>
      <c r="J431" s="5">
        <v>0</v>
      </c>
      <c r="K431" s="5">
        <v>4</v>
      </c>
      <c r="L431" s="6">
        <f t="shared" si="18"/>
        <v>0.41611127209504489</v>
      </c>
      <c r="M431" s="7">
        <f t="shared" si="19"/>
        <v>203</v>
      </c>
      <c r="N431" s="5">
        <f t="shared" si="20"/>
        <v>3.4</v>
      </c>
    </row>
    <row r="432" spans="1:14" x14ac:dyDescent="0.25">
      <c r="A432" s="2" t="s">
        <v>172</v>
      </c>
      <c r="B432" s="2" t="s">
        <v>150</v>
      </c>
      <c r="C432" s="2" t="s">
        <v>25</v>
      </c>
      <c r="D432" s="2" t="s">
        <v>18</v>
      </c>
      <c r="E432" s="2">
        <v>79</v>
      </c>
      <c r="F432" s="2">
        <v>36340</v>
      </c>
      <c r="G432" s="2">
        <v>14431</v>
      </c>
      <c r="H432" s="2">
        <v>6</v>
      </c>
      <c r="I432" s="2">
        <v>61</v>
      </c>
      <c r="J432" s="2">
        <v>2</v>
      </c>
      <c r="K432" s="2">
        <v>4.7</v>
      </c>
      <c r="L432" s="3">
        <f t="shared" si="18"/>
        <v>0.39711062190423774</v>
      </c>
      <c r="M432" s="4">
        <f t="shared" si="19"/>
        <v>460</v>
      </c>
      <c r="N432" s="2">
        <f t="shared" si="20"/>
        <v>13.166666666666666</v>
      </c>
    </row>
    <row r="433" spans="1:14" x14ac:dyDescent="0.25">
      <c r="A433" s="5" t="s">
        <v>172</v>
      </c>
      <c r="B433" s="5" t="s">
        <v>150</v>
      </c>
      <c r="C433" s="5" t="s">
        <v>25</v>
      </c>
      <c r="D433" s="5" t="s">
        <v>19</v>
      </c>
      <c r="E433" s="5">
        <v>57</v>
      </c>
      <c r="F433" s="5">
        <v>11628</v>
      </c>
      <c r="G433" s="5">
        <v>4332</v>
      </c>
      <c r="H433" s="5">
        <v>4</v>
      </c>
      <c r="I433" s="5">
        <v>41</v>
      </c>
      <c r="J433" s="5">
        <v>2</v>
      </c>
      <c r="K433" s="5">
        <v>4.3</v>
      </c>
      <c r="L433" s="6">
        <f t="shared" si="18"/>
        <v>0.37254901960784315</v>
      </c>
      <c r="M433" s="7">
        <f t="shared" si="19"/>
        <v>204</v>
      </c>
      <c r="N433" s="5">
        <f t="shared" si="20"/>
        <v>14.25</v>
      </c>
    </row>
    <row r="434" spans="1:14" x14ac:dyDescent="0.25">
      <c r="A434" s="2" t="s">
        <v>173</v>
      </c>
      <c r="B434" s="2" t="s">
        <v>150</v>
      </c>
      <c r="C434" s="2" t="s">
        <v>27</v>
      </c>
      <c r="D434" s="2" t="s">
        <v>17</v>
      </c>
      <c r="E434" s="2">
        <v>64</v>
      </c>
      <c r="F434" s="2">
        <v>17088</v>
      </c>
      <c r="G434" s="2">
        <v>7099</v>
      </c>
      <c r="H434" s="2">
        <v>4</v>
      </c>
      <c r="I434" s="2">
        <v>43</v>
      </c>
      <c r="J434" s="2">
        <v>0</v>
      </c>
      <c r="K434" s="2">
        <v>3.8</v>
      </c>
      <c r="L434" s="3">
        <f t="shared" si="18"/>
        <v>0.41543773408239698</v>
      </c>
      <c r="M434" s="4">
        <f t="shared" si="19"/>
        <v>267</v>
      </c>
      <c r="N434" s="2">
        <f t="shared" si="20"/>
        <v>16</v>
      </c>
    </row>
    <row r="435" spans="1:14" x14ac:dyDescent="0.25">
      <c r="A435" s="5" t="s">
        <v>173</v>
      </c>
      <c r="B435" s="5" t="s">
        <v>150</v>
      </c>
      <c r="C435" s="5" t="s">
        <v>27</v>
      </c>
      <c r="D435" s="5" t="s">
        <v>18</v>
      </c>
      <c r="E435" s="5">
        <v>117</v>
      </c>
      <c r="F435" s="5">
        <v>40833</v>
      </c>
      <c r="G435" s="5">
        <v>16017</v>
      </c>
      <c r="H435" s="5">
        <v>6</v>
      </c>
      <c r="I435" s="5">
        <v>67</v>
      </c>
      <c r="J435" s="5">
        <v>2</v>
      </c>
      <c r="K435" s="5">
        <v>4.5999999999999996</v>
      </c>
      <c r="L435" s="6">
        <f t="shared" si="18"/>
        <v>0.39225626331643526</v>
      </c>
      <c r="M435" s="7">
        <f t="shared" si="19"/>
        <v>349</v>
      </c>
      <c r="N435" s="5">
        <f t="shared" si="20"/>
        <v>19.5</v>
      </c>
    </row>
    <row r="436" spans="1:14" x14ac:dyDescent="0.25">
      <c r="A436" s="2" t="s">
        <v>173</v>
      </c>
      <c r="B436" s="2" t="s">
        <v>150</v>
      </c>
      <c r="C436" s="2" t="s">
        <v>27</v>
      </c>
      <c r="D436" s="2" t="s">
        <v>19</v>
      </c>
      <c r="E436" s="2">
        <v>62</v>
      </c>
      <c r="F436" s="2">
        <v>21452</v>
      </c>
      <c r="G436" s="2">
        <v>8142</v>
      </c>
      <c r="H436" s="2">
        <v>7</v>
      </c>
      <c r="I436" s="2">
        <v>58</v>
      </c>
      <c r="J436" s="2">
        <v>0</v>
      </c>
      <c r="K436" s="2">
        <v>3.8</v>
      </c>
      <c r="L436" s="3">
        <f t="shared" si="18"/>
        <v>0.37954503076636209</v>
      </c>
      <c r="M436" s="4">
        <f t="shared" si="19"/>
        <v>346</v>
      </c>
      <c r="N436" s="2">
        <f t="shared" si="20"/>
        <v>8.8571428571428577</v>
      </c>
    </row>
    <row r="437" spans="1:14" x14ac:dyDescent="0.25">
      <c r="A437" s="5" t="s">
        <v>174</v>
      </c>
      <c r="B437" s="5" t="s">
        <v>150</v>
      </c>
      <c r="C437" s="5" t="s">
        <v>29</v>
      </c>
      <c r="D437" s="5" t="s">
        <v>17</v>
      </c>
      <c r="E437" s="5">
        <v>30</v>
      </c>
      <c r="F437" s="5">
        <v>7350</v>
      </c>
      <c r="G437" s="5">
        <v>2776</v>
      </c>
      <c r="H437" s="5">
        <v>3</v>
      </c>
      <c r="I437" s="5">
        <v>35</v>
      </c>
      <c r="J437" s="5">
        <v>0</v>
      </c>
      <c r="K437" s="5">
        <v>3.9</v>
      </c>
      <c r="L437" s="6">
        <f t="shared" si="18"/>
        <v>0.37768707482993197</v>
      </c>
      <c r="M437" s="7">
        <f t="shared" si="19"/>
        <v>245</v>
      </c>
      <c r="N437" s="5">
        <f t="shared" si="20"/>
        <v>10</v>
      </c>
    </row>
    <row r="438" spans="1:14" x14ac:dyDescent="0.25">
      <c r="A438" s="2" t="s">
        <v>174</v>
      </c>
      <c r="B438" s="2" t="s">
        <v>150</v>
      </c>
      <c r="C438" s="2" t="s">
        <v>29</v>
      </c>
      <c r="D438" s="2" t="s">
        <v>18</v>
      </c>
      <c r="E438" s="2">
        <v>175</v>
      </c>
      <c r="F438" s="2">
        <v>69650</v>
      </c>
      <c r="G438" s="2">
        <v>22782</v>
      </c>
      <c r="H438" s="2">
        <v>9</v>
      </c>
      <c r="I438" s="2">
        <v>68</v>
      </c>
      <c r="J438" s="2">
        <v>1</v>
      </c>
      <c r="K438" s="2">
        <v>4.3</v>
      </c>
      <c r="L438" s="3">
        <f t="shared" si="18"/>
        <v>0.32709260588657574</v>
      </c>
      <c r="M438" s="4">
        <f t="shared" si="19"/>
        <v>398</v>
      </c>
      <c r="N438" s="2">
        <f t="shared" si="20"/>
        <v>19.444444444444443</v>
      </c>
    </row>
    <row r="439" spans="1:14" x14ac:dyDescent="0.25">
      <c r="A439" s="5" t="s">
        <v>174</v>
      </c>
      <c r="B439" s="5" t="s">
        <v>150</v>
      </c>
      <c r="C439" s="5" t="s">
        <v>29</v>
      </c>
      <c r="D439" s="5" t="s">
        <v>19</v>
      </c>
      <c r="E439" s="5">
        <v>106</v>
      </c>
      <c r="F439" s="5">
        <v>24380</v>
      </c>
      <c r="G439" s="5">
        <v>7905</v>
      </c>
      <c r="H439" s="5">
        <v>5</v>
      </c>
      <c r="I439" s="5">
        <v>56</v>
      </c>
      <c r="J439" s="5">
        <v>2</v>
      </c>
      <c r="K439" s="5">
        <v>4.5999999999999996</v>
      </c>
      <c r="L439" s="6">
        <f t="shared" si="18"/>
        <v>0.32424118129614438</v>
      </c>
      <c r="M439" s="7">
        <f t="shared" si="19"/>
        <v>230</v>
      </c>
      <c r="N439" s="5">
        <f t="shared" si="20"/>
        <v>21.2</v>
      </c>
    </row>
    <row r="440" spans="1:14" x14ac:dyDescent="0.25">
      <c r="A440" s="2" t="s">
        <v>175</v>
      </c>
      <c r="B440" s="2" t="s">
        <v>150</v>
      </c>
      <c r="C440" s="2" t="s">
        <v>31</v>
      </c>
      <c r="D440" s="2" t="s">
        <v>17</v>
      </c>
      <c r="E440" s="2">
        <v>61</v>
      </c>
      <c r="F440" s="2">
        <v>12566</v>
      </c>
      <c r="G440" s="2">
        <v>3609</v>
      </c>
      <c r="H440" s="2">
        <v>3</v>
      </c>
      <c r="I440" s="2">
        <v>52</v>
      </c>
      <c r="J440" s="2">
        <v>0</v>
      </c>
      <c r="K440" s="2">
        <v>4.3</v>
      </c>
      <c r="L440" s="3">
        <f t="shared" si="18"/>
        <v>0.28720356517587142</v>
      </c>
      <c r="M440" s="4">
        <f t="shared" si="19"/>
        <v>206</v>
      </c>
      <c r="N440" s="2">
        <f t="shared" si="20"/>
        <v>20.333333333333332</v>
      </c>
    </row>
    <row r="441" spans="1:14" x14ac:dyDescent="0.25">
      <c r="A441" s="5" t="s">
        <v>175</v>
      </c>
      <c r="B441" s="5" t="s">
        <v>150</v>
      </c>
      <c r="C441" s="5" t="s">
        <v>31</v>
      </c>
      <c r="D441" s="5" t="s">
        <v>18</v>
      </c>
      <c r="E441" s="5">
        <v>182</v>
      </c>
      <c r="F441" s="5">
        <v>51506</v>
      </c>
      <c r="G441" s="5">
        <v>19848</v>
      </c>
      <c r="H441" s="5">
        <v>8</v>
      </c>
      <c r="I441" s="5">
        <v>75</v>
      </c>
      <c r="J441" s="5">
        <v>2</v>
      </c>
      <c r="K441" s="5">
        <v>4.0999999999999996</v>
      </c>
      <c r="L441" s="6">
        <f t="shared" si="18"/>
        <v>0.38535316273832176</v>
      </c>
      <c r="M441" s="7">
        <f t="shared" si="19"/>
        <v>283</v>
      </c>
      <c r="N441" s="5">
        <f t="shared" si="20"/>
        <v>22.75</v>
      </c>
    </row>
    <row r="442" spans="1:14" x14ac:dyDescent="0.25">
      <c r="A442" s="2" t="s">
        <v>175</v>
      </c>
      <c r="B442" s="2" t="s">
        <v>150</v>
      </c>
      <c r="C442" s="2" t="s">
        <v>31</v>
      </c>
      <c r="D442" s="2" t="s">
        <v>19</v>
      </c>
      <c r="E442" s="2">
        <v>96</v>
      </c>
      <c r="F442" s="2">
        <v>26400</v>
      </c>
      <c r="G442" s="2">
        <v>8114</v>
      </c>
      <c r="H442" s="2">
        <v>6</v>
      </c>
      <c r="I442" s="2">
        <v>64</v>
      </c>
      <c r="J442" s="2">
        <v>1</v>
      </c>
      <c r="K442" s="2">
        <v>3.7</v>
      </c>
      <c r="L442" s="3">
        <f t="shared" si="18"/>
        <v>0.30734848484848487</v>
      </c>
      <c r="M442" s="4">
        <f t="shared" si="19"/>
        <v>275</v>
      </c>
      <c r="N442" s="2">
        <f t="shared" si="20"/>
        <v>16</v>
      </c>
    </row>
    <row r="443" spans="1:14" x14ac:dyDescent="0.25">
      <c r="A443" s="5" t="s">
        <v>176</v>
      </c>
      <c r="B443" s="5" t="s">
        <v>150</v>
      </c>
      <c r="C443" s="5" t="s">
        <v>16</v>
      </c>
      <c r="D443" s="5" t="s">
        <v>17</v>
      </c>
      <c r="E443" s="5">
        <v>35</v>
      </c>
      <c r="F443" s="5">
        <v>8435</v>
      </c>
      <c r="G443" s="5">
        <v>3235</v>
      </c>
      <c r="H443" s="5">
        <v>4</v>
      </c>
      <c r="I443" s="5">
        <v>50</v>
      </c>
      <c r="J443" s="5">
        <v>2</v>
      </c>
      <c r="K443" s="5">
        <v>4.3</v>
      </c>
      <c r="L443" s="6">
        <f t="shared" si="18"/>
        <v>0.38352104327208064</v>
      </c>
      <c r="M443" s="7">
        <f t="shared" si="19"/>
        <v>241</v>
      </c>
      <c r="N443" s="5">
        <f t="shared" si="20"/>
        <v>8.75</v>
      </c>
    </row>
    <row r="444" spans="1:14" x14ac:dyDescent="0.25">
      <c r="A444" s="2" t="s">
        <v>176</v>
      </c>
      <c r="B444" s="2" t="s">
        <v>150</v>
      </c>
      <c r="C444" s="2" t="s">
        <v>16</v>
      </c>
      <c r="D444" s="2" t="s">
        <v>18</v>
      </c>
      <c r="E444" s="2">
        <v>65</v>
      </c>
      <c r="F444" s="2">
        <v>25480</v>
      </c>
      <c r="G444" s="2">
        <v>8890</v>
      </c>
      <c r="H444" s="2">
        <v>9</v>
      </c>
      <c r="I444" s="2">
        <v>60</v>
      </c>
      <c r="J444" s="2">
        <v>0</v>
      </c>
      <c r="K444" s="2">
        <v>4.5</v>
      </c>
      <c r="L444" s="3">
        <f t="shared" si="18"/>
        <v>0.34890109890109888</v>
      </c>
      <c r="M444" s="4">
        <f t="shared" si="19"/>
        <v>392</v>
      </c>
      <c r="N444" s="2">
        <f t="shared" si="20"/>
        <v>7.2222222222222223</v>
      </c>
    </row>
    <row r="445" spans="1:14" x14ac:dyDescent="0.25">
      <c r="A445" s="5" t="s">
        <v>176</v>
      </c>
      <c r="B445" s="5" t="s">
        <v>150</v>
      </c>
      <c r="C445" s="5" t="s">
        <v>16</v>
      </c>
      <c r="D445" s="5" t="s">
        <v>19</v>
      </c>
      <c r="E445" s="5">
        <v>44</v>
      </c>
      <c r="F445" s="5">
        <v>10208</v>
      </c>
      <c r="G445" s="5">
        <v>4175</v>
      </c>
      <c r="H445" s="5">
        <v>6</v>
      </c>
      <c r="I445" s="5">
        <v>65</v>
      </c>
      <c r="J445" s="5">
        <v>3</v>
      </c>
      <c r="K445" s="5">
        <v>4.5999999999999996</v>
      </c>
      <c r="L445" s="6">
        <f t="shared" si="18"/>
        <v>0.40899294670846392</v>
      </c>
      <c r="M445" s="7">
        <f t="shared" si="19"/>
        <v>232</v>
      </c>
      <c r="N445" s="5">
        <f t="shared" si="20"/>
        <v>7.333333333333333</v>
      </c>
    </row>
    <row r="446" spans="1:14" x14ac:dyDescent="0.25">
      <c r="A446" s="2" t="s">
        <v>177</v>
      </c>
      <c r="B446" s="2" t="s">
        <v>150</v>
      </c>
      <c r="C446" s="2" t="s">
        <v>21</v>
      </c>
      <c r="D446" s="2" t="s">
        <v>17</v>
      </c>
      <c r="E446" s="2">
        <v>40</v>
      </c>
      <c r="F446" s="2">
        <v>8800</v>
      </c>
      <c r="G446" s="2">
        <v>3244</v>
      </c>
      <c r="H446" s="2">
        <v>3</v>
      </c>
      <c r="I446" s="2">
        <v>42</v>
      </c>
      <c r="J446" s="2">
        <v>1</v>
      </c>
      <c r="K446" s="2">
        <v>4.4000000000000004</v>
      </c>
      <c r="L446" s="3">
        <f t="shared" si="18"/>
        <v>0.36863636363636365</v>
      </c>
      <c r="M446" s="4">
        <f t="shared" si="19"/>
        <v>220</v>
      </c>
      <c r="N446" s="2">
        <f t="shared" si="20"/>
        <v>13.333333333333334</v>
      </c>
    </row>
    <row r="447" spans="1:14" x14ac:dyDescent="0.25">
      <c r="A447" s="5" t="s">
        <v>177</v>
      </c>
      <c r="B447" s="5" t="s">
        <v>150</v>
      </c>
      <c r="C447" s="5" t="s">
        <v>21</v>
      </c>
      <c r="D447" s="5" t="s">
        <v>18</v>
      </c>
      <c r="E447" s="5">
        <v>50</v>
      </c>
      <c r="F447" s="5">
        <v>19300</v>
      </c>
      <c r="G447" s="5">
        <v>6508</v>
      </c>
      <c r="H447" s="5">
        <v>10</v>
      </c>
      <c r="I447" s="5">
        <v>53</v>
      </c>
      <c r="J447" s="5">
        <v>4</v>
      </c>
      <c r="K447" s="5">
        <v>3.7</v>
      </c>
      <c r="L447" s="6">
        <f t="shared" si="18"/>
        <v>0.33720207253886009</v>
      </c>
      <c r="M447" s="7">
        <f t="shared" si="19"/>
        <v>386</v>
      </c>
      <c r="N447" s="5">
        <f t="shared" si="20"/>
        <v>5</v>
      </c>
    </row>
    <row r="448" spans="1:14" x14ac:dyDescent="0.25">
      <c r="A448" s="2" t="s">
        <v>177</v>
      </c>
      <c r="B448" s="2" t="s">
        <v>150</v>
      </c>
      <c r="C448" s="2" t="s">
        <v>21</v>
      </c>
      <c r="D448" s="2" t="s">
        <v>19</v>
      </c>
      <c r="E448" s="2">
        <v>57</v>
      </c>
      <c r="F448" s="2">
        <v>13737</v>
      </c>
      <c r="G448" s="2">
        <v>4439</v>
      </c>
      <c r="H448" s="2">
        <v>4</v>
      </c>
      <c r="I448" s="2">
        <v>46</v>
      </c>
      <c r="J448" s="2">
        <v>2</v>
      </c>
      <c r="K448" s="2">
        <v>4.3</v>
      </c>
      <c r="L448" s="3">
        <f t="shared" si="18"/>
        <v>0.3231418795952537</v>
      </c>
      <c r="M448" s="4">
        <f t="shared" si="19"/>
        <v>241</v>
      </c>
      <c r="N448" s="2">
        <f t="shared" si="20"/>
        <v>14.25</v>
      </c>
    </row>
    <row r="449" spans="1:14" x14ac:dyDescent="0.25">
      <c r="A449" s="5" t="s">
        <v>178</v>
      </c>
      <c r="B449" s="5" t="s">
        <v>150</v>
      </c>
      <c r="C449" s="5" t="s">
        <v>23</v>
      </c>
      <c r="D449" s="5" t="s">
        <v>17</v>
      </c>
      <c r="E449" s="5">
        <v>32</v>
      </c>
      <c r="F449" s="5">
        <v>8000</v>
      </c>
      <c r="G449" s="5">
        <v>2678</v>
      </c>
      <c r="H449" s="5">
        <v>3</v>
      </c>
      <c r="I449" s="5">
        <v>45</v>
      </c>
      <c r="J449" s="5">
        <v>1</v>
      </c>
      <c r="K449" s="5">
        <v>4.2</v>
      </c>
      <c r="L449" s="6">
        <f t="shared" si="18"/>
        <v>0.33474999999999999</v>
      </c>
      <c r="M449" s="7">
        <f t="shared" si="19"/>
        <v>250</v>
      </c>
      <c r="N449" s="5">
        <f t="shared" si="20"/>
        <v>10.666666666666666</v>
      </c>
    </row>
    <row r="450" spans="1:14" x14ac:dyDescent="0.25">
      <c r="A450" s="2" t="s">
        <v>178</v>
      </c>
      <c r="B450" s="2" t="s">
        <v>150</v>
      </c>
      <c r="C450" s="2" t="s">
        <v>23</v>
      </c>
      <c r="D450" s="2" t="s">
        <v>18</v>
      </c>
      <c r="E450" s="2">
        <v>48</v>
      </c>
      <c r="F450" s="2">
        <v>14400</v>
      </c>
      <c r="G450" s="2">
        <v>6000</v>
      </c>
      <c r="H450" s="2">
        <v>8</v>
      </c>
      <c r="I450" s="2">
        <v>50</v>
      </c>
      <c r="J450" s="2">
        <v>0</v>
      </c>
      <c r="K450" s="2">
        <v>3.8</v>
      </c>
      <c r="L450" s="3">
        <f t="shared" ref="L450:L513" si="21">G450/F450</f>
        <v>0.41666666666666669</v>
      </c>
      <c r="M450" s="4">
        <f t="shared" ref="M450:M513" si="22">F450/E450</f>
        <v>300</v>
      </c>
      <c r="N450" s="2">
        <f t="shared" ref="N450:N513" si="23">E450/H450</f>
        <v>6</v>
      </c>
    </row>
    <row r="451" spans="1:14" x14ac:dyDescent="0.25">
      <c r="A451" s="5" t="s">
        <v>178</v>
      </c>
      <c r="B451" s="5" t="s">
        <v>150</v>
      </c>
      <c r="C451" s="5" t="s">
        <v>23</v>
      </c>
      <c r="D451" s="5" t="s">
        <v>19</v>
      </c>
      <c r="E451" s="5">
        <v>60</v>
      </c>
      <c r="F451" s="5">
        <v>12840</v>
      </c>
      <c r="G451" s="5">
        <v>3987</v>
      </c>
      <c r="H451" s="5">
        <v>4</v>
      </c>
      <c r="I451" s="5">
        <v>45</v>
      </c>
      <c r="J451" s="5">
        <v>0</v>
      </c>
      <c r="K451" s="5">
        <v>4.2</v>
      </c>
      <c r="L451" s="6">
        <f t="shared" si="21"/>
        <v>0.31051401869158879</v>
      </c>
      <c r="M451" s="7">
        <f t="shared" si="22"/>
        <v>214</v>
      </c>
      <c r="N451" s="5">
        <f t="shared" si="23"/>
        <v>15</v>
      </c>
    </row>
    <row r="452" spans="1:14" x14ac:dyDescent="0.25">
      <c r="A452" s="2" t="s">
        <v>179</v>
      </c>
      <c r="B452" s="2" t="s">
        <v>150</v>
      </c>
      <c r="C452" s="2" t="s">
        <v>25</v>
      </c>
      <c r="D452" s="2" t="s">
        <v>17</v>
      </c>
      <c r="E452" s="2">
        <v>39</v>
      </c>
      <c r="F452" s="2">
        <v>8112</v>
      </c>
      <c r="G452" s="2">
        <v>2395</v>
      </c>
      <c r="H452" s="2">
        <v>4</v>
      </c>
      <c r="I452" s="2">
        <v>38</v>
      </c>
      <c r="J452" s="2">
        <v>0</v>
      </c>
      <c r="K452" s="2">
        <v>4.4000000000000004</v>
      </c>
      <c r="L452" s="3">
        <f t="shared" si="21"/>
        <v>0.295241617357002</v>
      </c>
      <c r="M452" s="4">
        <f t="shared" si="22"/>
        <v>208</v>
      </c>
      <c r="N452" s="2">
        <f t="shared" si="23"/>
        <v>9.75</v>
      </c>
    </row>
    <row r="453" spans="1:14" x14ac:dyDescent="0.25">
      <c r="A453" s="5" t="s">
        <v>179</v>
      </c>
      <c r="B453" s="5" t="s">
        <v>150</v>
      </c>
      <c r="C453" s="5" t="s">
        <v>25</v>
      </c>
      <c r="D453" s="5" t="s">
        <v>18</v>
      </c>
      <c r="E453" s="5">
        <v>69</v>
      </c>
      <c r="F453" s="5">
        <v>20217</v>
      </c>
      <c r="G453" s="5">
        <v>6265</v>
      </c>
      <c r="H453" s="5">
        <v>6</v>
      </c>
      <c r="I453" s="5">
        <v>57</v>
      </c>
      <c r="J453" s="5">
        <v>4</v>
      </c>
      <c r="K453" s="5">
        <v>4.5</v>
      </c>
      <c r="L453" s="6">
        <f t="shared" si="21"/>
        <v>0.30988771825691253</v>
      </c>
      <c r="M453" s="7">
        <f t="shared" si="22"/>
        <v>293</v>
      </c>
      <c r="N453" s="5">
        <f t="shared" si="23"/>
        <v>11.5</v>
      </c>
    </row>
    <row r="454" spans="1:14" x14ac:dyDescent="0.25">
      <c r="A454" s="2" t="s">
        <v>179</v>
      </c>
      <c r="B454" s="2" t="s">
        <v>150</v>
      </c>
      <c r="C454" s="2" t="s">
        <v>25</v>
      </c>
      <c r="D454" s="2" t="s">
        <v>19</v>
      </c>
      <c r="E454" s="2">
        <v>62</v>
      </c>
      <c r="F454" s="2">
        <v>15252</v>
      </c>
      <c r="G454" s="2">
        <v>5308</v>
      </c>
      <c r="H454" s="2">
        <v>7</v>
      </c>
      <c r="I454" s="2">
        <v>64</v>
      </c>
      <c r="J454" s="2">
        <v>2</v>
      </c>
      <c r="K454" s="2">
        <v>3.6</v>
      </c>
      <c r="L454" s="3">
        <f t="shared" si="21"/>
        <v>0.34801993181222135</v>
      </c>
      <c r="M454" s="4">
        <f t="shared" si="22"/>
        <v>246</v>
      </c>
      <c r="N454" s="2">
        <f t="shared" si="23"/>
        <v>8.8571428571428577</v>
      </c>
    </row>
    <row r="455" spans="1:14" x14ac:dyDescent="0.25">
      <c r="A455" s="5" t="s">
        <v>180</v>
      </c>
      <c r="B455" s="5" t="s">
        <v>150</v>
      </c>
      <c r="C455" s="5" t="s">
        <v>27</v>
      </c>
      <c r="D455" s="5" t="s">
        <v>17</v>
      </c>
      <c r="E455" s="5">
        <v>37</v>
      </c>
      <c r="F455" s="5">
        <v>9916</v>
      </c>
      <c r="G455" s="5">
        <v>3300</v>
      </c>
      <c r="H455" s="5">
        <v>3</v>
      </c>
      <c r="I455" s="5">
        <v>45</v>
      </c>
      <c r="J455" s="5">
        <v>1</v>
      </c>
      <c r="K455" s="5">
        <v>4.2</v>
      </c>
      <c r="L455" s="6">
        <f t="shared" si="21"/>
        <v>0.33279548204921339</v>
      </c>
      <c r="M455" s="7">
        <f t="shared" si="22"/>
        <v>268</v>
      </c>
      <c r="N455" s="5">
        <f t="shared" si="23"/>
        <v>12.333333333333334</v>
      </c>
    </row>
    <row r="456" spans="1:14" x14ac:dyDescent="0.25">
      <c r="A456" s="2" t="s">
        <v>180</v>
      </c>
      <c r="B456" s="2" t="s">
        <v>150</v>
      </c>
      <c r="C456" s="2" t="s">
        <v>27</v>
      </c>
      <c r="D456" s="2" t="s">
        <v>18</v>
      </c>
      <c r="E456" s="2">
        <v>171</v>
      </c>
      <c r="F456" s="2">
        <v>62586</v>
      </c>
      <c r="G456" s="2">
        <v>25218</v>
      </c>
      <c r="H456" s="2">
        <v>9</v>
      </c>
      <c r="I456" s="2">
        <v>68</v>
      </c>
      <c r="J456" s="2">
        <v>2</v>
      </c>
      <c r="K456" s="2">
        <v>4.7</v>
      </c>
      <c r="L456" s="3">
        <f t="shared" si="21"/>
        <v>0.40293356341673858</v>
      </c>
      <c r="M456" s="4">
        <f t="shared" si="22"/>
        <v>366</v>
      </c>
      <c r="N456" s="2">
        <f t="shared" si="23"/>
        <v>19</v>
      </c>
    </row>
    <row r="457" spans="1:14" x14ac:dyDescent="0.25">
      <c r="A457" s="5" t="s">
        <v>180</v>
      </c>
      <c r="B457" s="5" t="s">
        <v>150</v>
      </c>
      <c r="C457" s="5" t="s">
        <v>27</v>
      </c>
      <c r="D457" s="5" t="s">
        <v>19</v>
      </c>
      <c r="E457" s="5">
        <v>86</v>
      </c>
      <c r="F457" s="5">
        <v>24080</v>
      </c>
      <c r="G457" s="5">
        <v>7415</v>
      </c>
      <c r="H457" s="5">
        <v>6</v>
      </c>
      <c r="I457" s="5">
        <v>51</v>
      </c>
      <c r="J457" s="5">
        <v>2</v>
      </c>
      <c r="K457" s="5">
        <v>3.6</v>
      </c>
      <c r="L457" s="6">
        <f t="shared" si="21"/>
        <v>0.30793189368770763</v>
      </c>
      <c r="M457" s="7">
        <f t="shared" si="22"/>
        <v>280</v>
      </c>
      <c r="N457" s="5">
        <f t="shared" si="23"/>
        <v>14.333333333333334</v>
      </c>
    </row>
    <row r="458" spans="1:14" x14ac:dyDescent="0.25">
      <c r="A458" s="2" t="s">
        <v>181</v>
      </c>
      <c r="B458" s="2" t="s">
        <v>182</v>
      </c>
      <c r="C458" s="2" t="s">
        <v>29</v>
      </c>
      <c r="D458" s="2" t="s">
        <v>17</v>
      </c>
      <c r="E458" s="2">
        <v>58</v>
      </c>
      <c r="F458" s="2">
        <v>12064</v>
      </c>
      <c r="G458" s="2">
        <v>3493</v>
      </c>
      <c r="H458" s="2">
        <v>5</v>
      </c>
      <c r="I458" s="2">
        <v>51</v>
      </c>
      <c r="J458" s="2">
        <v>1</v>
      </c>
      <c r="K458" s="2">
        <v>4.4000000000000004</v>
      </c>
      <c r="L458" s="3">
        <f t="shared" si="21"/>
        <v>0.28953912466843501</v>
      </c>
      <c r="M458" s="4">
        <f t="shared" si="22"/>
        <v>208</v>
      </c>
      <c r="N458" s="2">
        <f t="shared" si="23"/>
        <v>11.6</v>
      </c>
    </row>
    <row r="459" spans="1:14" x14ac:dyDescent="0.25">
      <c r="A459" s="5" t="s">
        <v>181</v>
      </c>
      <c r="B459" s="5" t="s">
        <v>182</v>
      </c>
      <c r="C459" s="5" t="s">
        <v>29</v>
      </c>
      <c r="D459" s="5" t="s">
        <v>18</v>
      </c>
      <c r="E459" s="5">
        <v>141</v>
      </c>
      <c r="F459" s="5">
        <v>53439</v>
      </c>
      <c r="G459" s="5">
        <v>20854</v>
      </c>
      <c r="H459" s="5">
        <v>6</v>
      </c>
      <c r="I459" s="5">
        <v>63</v>
      </c>
      <c r="J459" s="5">
        <v>4</v>
      </c>
      <c r="K459" s="5">
        <v>4.7</v>
      </c>
      <c r="L459" s="6">
        <f t="shared" si="21"/>
        <v>0.39023933831097141</v>
      </c>
      <c r="M459" s="7">
        <f t="shared" si="22"/>
        <v>379</v>
      </c>
      <c r="N459" s="5">
        <f t="shared" si="23"/>
        <v>23.5</v>
      </c>
    </row>
    <row r="460" spans="1:14" x14ac:dyDescent="0.25">
      <c r="A460" s="2" t="s">
        <v>181</v>
      </c>
      <c r="B460" s="2" t="s">
        <v>182</v>
      </c>
      <c r="C460" s="2" t="s">
        <v>29</v>
      </c>
      <c r="D460" s="2" t="s">
        <v>19</v>
      </c>
      <c r="E460" s="2">
        <v>69</v>
      </c>
      <c r="F460" s="2">
        <v>18423</v>
      </c>
      <c r="G460" s="2">
        <v>5312</v>
      </c>
      <c r="H460" s="2">
        <v>5</v>
      </c>
      <c r="I460" s="2">
        <v>52</v>
      </c>
      <c r="J460" s="2">
        <v>0</v>
      </c>
      <c r="K460" s="2">
        <v>3.8</v>
      </c>
      <c r="L460" s="3">
        <f t="shared" si="21"/>
        <v>0.28833523313249743</v>
      </c>
      <c r="M460" s="4">
        <f t="shared" si="22"/>
        <v>267</v>
      </c>
      <c r="N460" s="2">
        <f t="shared" si="23"/>
        <v>13.8</v>
      </c>
    </row>
    <row r="461" spans="1:14" x14ac:dyDescent="0.25">
      <c r="A461" s="5" t="s">
        <v>183</v>
      </c>
      <c r="B461" s="5" t="s">
        <v>182</v>
      </c>
      <c r="C461" s="5" t="s">
        <v>31</v>
      </c>
      <c r="D461" s="5" t="s">
        <v>17</v>
      </c>
      <c r="E461" s="5">
        <v>32</v>
      </c>
      <c r="F461" s="5">
        <v>7456</v>
      </c>
      <c r="G461" s="5">
        <v>2752</v>
      </c>
      <c r="H461" s="5">
        <v>5</v>
      </c>
      <c r="I461" s="5">
        <v>47</v>
      </c>
      <c r="J461" s="5">
        <v>2</v>
      </c>
      <c r="K461" s="5">
        <v>4.4000000000000004</v>
      </c>
      <c r="L461" s="6">
        <f t="shared" si="21"/>
        <v>0.36909871244635195</v>
      </c>
      <c r="M461" s="7">
        <f t="shared" si="22"/>
        <v>233</v>
      </c>
      <c r="N461" s="5">
        <f t="shared" si="23"/>
        <v>6.4</v>
      </c>
    </row>
    <row r="462" spans="1:14" x14ac:dyDescent="0.25">
      <c r="A462" s="2" t="s">
        <v>183</v>
      </c>
      <c r="B462" s="2" t="s">
        <v>182</v>
      </c>
      <c r="C462" s="2" t="s">
        <v>31</v>
      </c>
      <c r="D462" s="2" t="s">
        <v>18</v>
      </c>
      <c r="E462" s="2">
        <v>134</v>
      </c>
      <c r="F462" s="2">
        <v>42880</v>
      </c>
      <c r="G462" s="2">
        <v>17494</v>
      </c>
      <c r="H462" s="2">
        <v>8</v>
      </c>
      <c r="I462" s="2">
        <v>60</v>
      </c>
      <c r="J462" s="2">
        <v>3</v>
      </c>
      <c r="K462" s="2">
        <v>3.9</v>
      </c>
      <c r="L462" s="3">
        <f t="shared" si="21"/>
        <v>0.40797574626865674</v>
      </c>
      <c r="M462" s="4">
        <f t="shared" si="22"/>
        <v>320</v>
      </c>
      <c r="N462" s="2">
        <f t="shared" si="23"/>
        <v>16.75</v>
      </c>
    </row>
    <row r="463" spans="1:14" x14ac:dyDescent="0.25">
      <c r="A463" s="5" t="s">
        <v>183</v>
      </c>
      <c r="B463" s="5" t="s">
        <v>182</v>
      </c>
      <c r="C463" s="5" t="s">
        <v>31</v>
      </c>
      <c r="D463" s="5" t="s">
        <v>19</v>
      </c>
      <c r="E463" s="5">
        <v>33</v>
      </c>
      <c r="F463" s="5">
        <v>6699</v>
      </c>
      <c r="G463" s="5">
        <v>2553</v>
      </c>
      <c r="H463" s="5">
        <v>5</v>
      </c>
      <c r="I463" s="5">
        <v>57</v>
      </c>
      <c r="J463" s="5">
        <v>2</v>
      </c>
      <c r="K463" s="5">
        <v>4.5</v>
      </c>
      <c r="L463" s="6">
        <f t="shared" si="21"/>
        <v>0.38110165696372594</v>
      </c>
      <c r="M463" s="7">
        <f t="shared" si="22"/>
        <v>203</v>
      </c>
      <c r="N463" s="5">
        <f t="shared" si="23"/>
        <v>6.6</v>
      </c>
    </row>
    <row r="464" spans="1:14" x14ac:dyDescent="0.25">
      <c r="A464" s="2" t="s">
        <v>184</v>
      </c>
      <c r="B464" s="2" t="s">
        <v>182</v>
      </c>
      <c r="C464" s="2" t="s">
        <v>16</v>
      </c>
      <c r="D464" s="2" t="s">
        <v>17</v>
      </c>
      <c r="E464" s="2">
        <v>13</v>
      </c>
      <c r="F464" s="2">
        <v>2522</v>
      </c>
      <c r="G464" s="2">
        <v>1027</v>
      </c>
      <c r="H464" s="2">
        <v>5</v>
      </c>
      <c r="I464" s="2">
        <v>52</v>
      </c>
      <c r="J464" s="2">
        <v>0</v>
      </c>
      <c r="K464" s="2">
        <v>4.0999999999999996</v>
      </c>
      <c r="L464" s="3">
        <f t="shared" si="21"/>
        <v>0.40721649484536082</v>
      </c>
      <c r="M464" s="4">
        <f t="shared" si="22"/>
        <v>194</v>
      </c>
      <c r="N464" s="2">
        <f t="shared" si="23"/>
        <v>2.6</v>
      </c>
    </row>
    <row r="465" spans="1:14" x14ac:dyDescent="0.25">
      <c r="A465" s="5" t="s">
        <v>184</v>
      </c>
      <c r="B465" s="5" t="s">
        <v>182</v>
      </c>
      <c r="C465" s="5" t="s">
        <v>16</v>
      </c>
      <c r="D465" s="5" t="s">
        <v>18</v>
      </c>
      <c r="E465" s="5">
        <v>88</v>
      </c>
      <c r="F465" s="5">
        <v>34496</v>
      </c>
      <c r="G465" s="5">
        <v>14196</v>
      </c>
      <c r="H465" s="5">
        <v>9</v>
      </c>
      <c r="I465" s="5">
        <v>71</v>
      </c>
      <c r="J465" s="5">
        <v>2</v>
      </c>
      <c r="K465" s="5">
        <v>4.4000000000000004</v>
      </c>
      <c r="L465" s="6">
        <f t="shared" si="21"/>
        <v>0.41152597402597402</v>
      </c>
      <c r="M465" s="7">
        <f t="shared" si="22"/>
        <v>392</v>
      </c>
      <c r="N465" s="5">
        <f t="shared" si="23"/>
        <v>9.7777777777777786</v>
      </c>
    </row>
    <row r="466" spans="1:14" x14ac:dyDescent="0.25">
      <c r="A466" s="2" t="s">
        <v>184</v>
      </c>
      <c r="B466" s="2" t="s">
        <v>182</v>
      </c>
      <c r="C466" s="2" t="s">
        <v>16</v>
      </c>
      <c r="D466" s="2" t="s">
        <v>19</v>
      </c>
      <c r="E466" s="2">
        <v>22</v>
      </c>
      <c r="F466" s="2">
        <v>7634</v>
      </c>
      <c r="G466" s="2">
        <v>2319</v>
      </c>
      <c r="H466" s="2">
        <v>6</v>
      </c>
      <c r="I466" s="2">
        <v>56</v>
      </c>
      <c r="J466" s="2">
        <v>0</v>
      </c>
      <c r="K466" s="2">
        <v>4.0999999999999996</v>
      </c>
      <c r="L466" s="3">
        <f t="shared" si="21"/>
        <v>0.30377259627980091</v>
      </c>
      <c r="M466" s="4">
        <f t="shared" si="22"/>
        <v>347</v>
      </c>
      <c r="N466" s="2">
        <f t="shared" si="23"/>
        <v>3.6666666666666665</v>
      </c>
    </row>
    <row r="467" spans="1:14" x14ac:dyDescent="0.25">
      <c r="A467" s="5" t="s">
        <v>185</v>
      </c>
      <c r="B467" s="5" t="s">
        <v>182</v>
      </c>
      <c r="C467" s="5" t="s">
        <v>21</v>
      </c>
      <c r="D467" s="5" t="s">
        <v>17</v>
      </c>
      <c r="E467" s="5">
        <v>30</v>
      </c>
      <c r="F467" s="5">
        <v>7560</v>
      </c>
      <c r="G467" s="5">
        <v>3118</v>
      </c>
      <c r="H467" s="5">
        <v>5</v>
      </c>
      <c r="I467" s="5">
        <v>40</v>
      </c>
      <c r="J467" s="5">
        <v>0</v>
      </c>
      <c r="K467" s="5">
        <v>4.0999999999999996</v>
      </c>
      <c r="L467" s="6">
        <f t="shared" si="21"/>
        <v>0.41243386243386243</v>
      </c>
      <c r="M467" s="7">
        <f t="shared" si="22"/>
        <v>252</v>
      </c>
      <c r="N467" s="5">
        <f t="shared" si="23"/>
        <v>6</v>
      </c>
    </row>
    <row r="468" spans="1:14" x14ac:dyDescent="0.25">
      <c r="A468" s="2" t="s">
        <v>185</v>
      </c>
      <c r="B468" s="2" t="s">
        <v>182</v>
      </c>
      <c r="C468" s="2" t="s">
        <v>21</v>
      </c>
      <c r="D468" s="2" t="s">
        <v>18</v>
      </c>
      <c r="E468" s="2">
        <v>43</v>
      </c>
      <c r="F468" s="2">
        <v>14620</v>
      </c>
      <c r="G468" s="2">
        <v>4280</v>
      </c>
      <c r="H468" s="2">
        <v>6</v>
      </c>
      <c r="I468" s="2">
        <v>53</v>
      </c>
      <c r="J468" s="2">
        <v>4</v>
      </c>
      <c r="K468" s="2">
        <v>4.5</v>
      </c>
      <c r="L468" s="3">
        <f t="shared" si="21"/>
        <v>0.292749658002736</v>
      </c>
      <c r="M468" s="4">
        <f t="shared" si="22"/>
        <v>340</v>
      </c>
      <c r="N468" s="2">
        <f t="shared" si="23"/>
        <v>7.166666666666667</v>
      </c>
    </row>
    <row r="469" spans="1:14" x14ac:dyDescent="0.25">
      <c r="A469" s="5" t="s">
        <v>185</v>
      </c>
      <c r="B469" s="5" t="s">
        <v>182</v>
      </c>
      <c r="C469" s="5" t="s">
        <v>21</v>
      </c>
      <c r="D469" s="5" t="s">
        <v>19</v>
      </c>
      <c r="E469" s="5">
        <v>26</v>
      </c>
      <c r="F469" s="5">
        <v>7644</v>
      </c>
      <c r="G469" s="5">
        <v>2876</v>
      </c>
      <c r="H469" s="5">
        <v>4</v>
      </c>
      <c r="I469" s="5">
        <v>44</v>
      </c>
      <c r="J469" s="5">
        <v>3</v>
      </c>
      <c r="K469" s="5">
        <v>3.9</v>
      </c>
      <c r="L469" s="6">
        <f t="shared" si="21"/>
        <v>0.37624280481423339</v>
      </c>
      <c r="M469" s="7">
        <f t="shared" si="22"/>
        <v>294</v>
      </c>
      <c r="N469" s="5">
        <f t="shared" si="23"/>
        <v>6.5</v>
      </c>
    </row>
    <row r="470" spans="1:14" x14ac:dyDescent="0.25">
      <c r="A470" s="2" t="s">
        <v>186</v>
      </c>
      <c r="B470" s="2" t="s">
        <v>182</v>
      </c>
      <c r="C470" s="2" t="s">
        <v>23</v>
      </c>
      <c r="D470" s="2" t="s">
        <v>17</v>
      </c>
      <c r="E470" s="2">
        <v>26</v>
      </c>
      <c r="F470" s="2">
        <v>5564</v>
      </c>
      <c r="G470" s="2">
        <v>1861</v>
      </c>
      <c r="H470" s="2">
        <v>3</v>
      </c>
      <c r="I470" s="2">
        <v>54</v>
      </c>
      <c r="J470" s="2">
        <v>2</v>
      </c>
      <c r="K470" s="2">
        <v>4.3</v>
      </c>
      <c r="L470" s="3">
        <f t="shared" si="21"/>
        <v>0.33447160316319197</v>
      </c>
      <c r="M470" s="4">
        <f t="shared" si="22"/>
        <v>214</v>
      </c>
      <c r="N470" s="2">
        <f t="shared" si="23"/>
        <v>8.6666666666666661</v>
      </c>
    </row>
    <row r="471" spans="1:14" x14ac:dyDescent="0.25">
      <c r="A471" s="5" t="s">
        <v>186</v>
      </c>
      <c r="B471" s="5" t="s">
        <v>182</v>
      </c>
      <c r="C471" s="5" t="s">
        <v>23</v>
      </c>
      <c r="D471" s="5" t="s">
        <v>18</v>
      </c>
      <c r="E471" s="5">
        <v>82</v>
      </c>
      <c r="F471" s="5">
        <v>34112</v>
      </c>
      <c r="G471" s="5">
        <v>10836</v>
      </c>
      <c r="H471" s="5">
        <v>9</v>
      </c>
      <c r="I471" s="5">
        <v>60</v>
      </c>
      <c r="J471" s="5">
        <v>1</v>
      </c>
      <c r="K471" s="5">
        <v>3.8</v>
      </c>
      <c r="L471" s="6">
        <f t="shared" si="21"/>
        <v>0.31765947467166977</v>
      </c>
      <c r="M471" s="7">
        <f t="shared" si="22"/>
        <v>416</v>
      </c>
      <c r="N471" s="5">
        <f t="shared" si="23"/>
        <v>9.1111111111111107</v>
      </c>
    </row>
    <row r="472" spans="1:14" x14ac:dyDescent="0.25">
      <c r="A472" s="2" t="s">
        <v>186</v>
      </c>
      <c r="B472" s="2" t="s">
        <v>182</v>
      </c>
      <c r="C472" s="2" t="s">
        <v>23</v>
      </c>
      <c r="D472" s="2" t="s">
        <v>19</v>
      </c>
      <c r="E472" s="2">
        <v>45</v>
      </c>
      <c r="F472" s="2">
        <v>13815</v>
      </c>
      <c r="G472" s="2">
        <v>4274</v>
      </c>
      <c r="H472" s="2">
        <v>4</v>
      </c>
      <c r="I472" s="2">
        <v>62</v>
      </c>
      <c r="J472" s="2">
        <v>2</v>
      </c>
      <c r="K472" s="2">
        <v>3.9</v>
      </c>
      <c r="L472" s="3">
        <f t="shared" si="21"/>
        <v>0.30937386898298952</v>
      </c>
      <c r="M472" s="4">
        <f t="shared" si="22"/>
        <v>307</v>
      </c>
      <c r="N472" s="2">
        <f t="shared" si="23"/>
        <v>11.25</v>
      </c>
    </row>
    <row r="473" spans="1:14" x14ac:dyDescent="0.25">
      <c r="A473" s="5" t="s">
        <v>187</v>
      </c>
      <c r="B473" s="5" t="s">
        <v>182</v>
      </c>
      <c r="C473" s="5" t="s">
        <v>25</v>
      </c>
      <c r="D473" s="5" t="s">
        <v>17</v>
      </c>
      <c r="E473" s="5">
        <v>26</v>
      </c>
      <c r="F473" s="5">
        <v>5096</v>
      </c>
      <c r="G473" s="5">
        <v>1558</v>
      </c>
      <c r="H473" s="5">
        <v>5</v>
      </c>
      <c r="I473" s="5">
        <v>44</v>
      </c>
      <c r="J473" s="5">
        <v>1</v>
      </c>
      <c r="K473" s="5">
        <v>4</v>
      </c>
      <c r="L473" s="6">
        <f t="shared" si="21"/>
        <v>0.30572998430141285</v>
      </c>
      <c r="M473" s="7">
        <f t="shared" si="22"/>
        <v>196</v>
      </c>
      <c r="N473" s="5">
        <f t="shared" si="23"/>
        <v>5.2</v>
      </c>
    </row>
    <row r="474" spans="1:14" x14ac:dyDescent="0.25">
      <c r="A474" s="2" t="s">
        <v>187</v>
      </c>
      <c r="B474" s="2" t="s">
        <v>182</v>
      </c>
      <c r="C474" s="2" t="s">
        <v>25</v>
      </c>
      <c r="D474" s="2" t="s">
        <v>18</v>
      </c>
      <c r="E474" s="2">
        <v>88</v>
      </c>
      <c r="F474" s="2">
        <v>36696</v>
      </c>
      <c r="G474" s="2">
        <v>15096</v>
      </c>
      <c r="H474" s="2">
        <v>10</v>
      </c>
      <c r="I474" s="2">
        <v>49</v>
      </c>
      <c r="J474" s="2">
        <v>3</v>
      </c>
      <c r="K474" s="2">
        <v>3.8</v>
      </c>
      <c r="L474" s="3">
        <f t="shared" si="21"/>
        <v>0.41137998691955524</v>
      </c>
      <c r="M474" s="4">
        <f t="shared" si="22"/>
        <v>417</v>
      </c>
      <c r="N474" s="2">
        <f t="shared" si="23"/>
        <v>8.8000000000000007</v>
      </c>
    </row>
    <row r="475" spans="1:14" x14ac:dyDescent="0.25">
      <c r="A475" s="5" t="s">
        <v>187</v>
      </c>
      <c r="B475" s="5" t="s">
        <v>182</v>
      </c>
      <c r="C475" s="5" t="s">
        <v>25</v>
      </c>
      <c r="D475" s="5" t="s">
        <v>19</v>
      </c>
      <c r="E475" s="5">
        <v>46</v>
      </c>
      <c r="F475" s="5">
        <v>11822</v>
      </c>
      <c r="G475" s="5">
        <v>3695</v>
      </c>
      <c r="H475" s="5">
        <v>5</v>
      </c>
      <c r="I475" s="5">
        <v>50</v>
      </c>
      <c r="J475" s="5">
        <v>1</v>
      </c>
      <c r="K475" s="5">
        <v>3.8</v>
      </c>
      <c r="L475" s="6">
        <f t="shared" si="21"/>
        <v>0.31255286753510403</v>
      </c>
      <c r="M475" s="7">
        <f t="shared" si="22"/>
        <v>257</v>
      </c>
      <c r="N475" s="5">
        <f t="shared" si="23"/>
        <v>9.1999999999999993</v>
      </c>
    </row>
    <row r="476" spans="1:14" x14ac:dyDescent="0.25">
      <c r="A476" s="2" t="s">
        <v>188</v>
      </c>
      <c r="B476" s="2" t="s">
        <v>182</v>
      </c>
      <c r="C476" s="2" t="s">
        <v>27</v>
      </c>
      <c r="D476" s="2" t="s">
        <v>17</v>
      </c>
      <c r="E476" s="2">
        <v>39</v>
      </c>
      <c r="F476" s="2">
        <v>7956</v>
      </c>
      <c r="G476" s="2">
        <v>2446</v>
      </c>
      <c r="H476" s="2">
        <v>5</v>
      </c>
      <c r="I476" s="2">
        <v>55</v>
      </c>
      <c r="J476" s="2">
        <v>2</v>
      </c>
      <c r="K476" s="2">
        <v>4.4000000000000004</v>
      </c>
      <c r="L476" s="3">
        <f t="shared" si="21"/>
        <v>0.30744092508798393</v>
      </c>
      <c r="M476" s="4">
        <f t="shared" si="22"/>
        <v>204</v>
      </c>
      <c r="N476" s="2">
        <f t="shared" si="23"/>
        <v>7.8</v>
      </c>
    </row>
    <row r="477" spans="1:14" x14ac:dyDescent="0.25">
      <c r="A477" s="5" t="s">
        <v>188</v>
      </c>
      <c r="B477" s="5" t="s">
        <v>182</v>
      </c>
      <c r="C477" s="5" t="s">
        <v>27</v>
      </c>
      <c r="D477" s="5" t="s">
        <v>18</v>
      </c>
      <c r="E477" s="5">
        <v>112</v>
      </c>
      <c r="F477" s="5">
        <v>40208</v>
      </c>
      <c r="G477" s="5">
        <v>14211</v>
      </c>
      <c r="H477" s="5">
        <v>10</v>
      </c>
      <c r="I477" s="5">
        <v>56</v>
      </c>
      <c r="J477" s="5">
        <v>4</v>
      </c>
      <c r="K477" s="5">
        <v>4.4000000000000004</v>
      </c>
      <c r="L477" s="6">
        <f t="shared" si="21"/>
        <v>0.35343712693991247</v>
      </c>
      <c r="M477" s="7">
        <f t="shared" si="22"/>
        <v>359</v>
      </c>
      <c r="N477" s="5">
        <f t="shared" si="23"/>
        <v>11.2</v>
      </c>
    </row>
    <row r="478" spans="1:14" x14ac:dyDescent="0.25">
      <c r="A478" s="2" t="s">
        <v>188</v>
      </c>
      <c r="B478" s="2" t="s">
        <v>182</v>
      </c>
      <c r="C478" s="2" t="s">
        <v>27</v>
      </c>
      <c r="D478" s="2" t="s">
        <v>19</v>
      </c>
      <c r="E478" s="2">
        <v>57</v>
      </c>
      <c r="F478" s="2">
        <v>13680</v>
      </c>
      <c r="G478" s="2">
        <v>3925</v>
      </c>
      <c r="H478" s="2">
        <v>5</v>
      </c>
      <c r="I478" s="2">
        <v>59</v>
      </c>
      <c r="J478" s="2">
        <v>3</v>
      </c>
      <c r="K478" s="2">
        <v>4</v>
      </c>
      <c r="L478" s="3">
        <f t="shared" si="21"/>
        <v>0.28691520467836257</v>
      </c>
      <c r="M478" s="4">
        <f t="shared" si="22"/>
        <v>240</v>
      </c>
      <c r="N478" s="2">
        <f t="shared" si="23"/>
        <v>11.4</v>
      </c>
    </row>
    <row r="479" spans="1:14" x14ac:dyDescent="0.25">
      <c r="A479" s="5" t="s">
        <v>189</v>
      </c>
      <c r="B479" s="5" t="s">
        <v>182</v>
      </c>
      <c r="C479" s="5" t="s">
        <v>29</v>
      </c>
      <c r="D479" s="5" t="s">
        <v>17</v>
      </c>
      <c r="E479" s="5">
        <v>28</v>
      </c>
      <c r="F479" s="5">
        <v>5768</v>
      </c>
      <c r="G479" s="5">
        <v>2052</v>
      </c>
      <c r="H479" s="5">
        <v>3</v>
      </c>
      <c r="I479" s="5">
        <v>38</v>
      </c>
      <c r="J479" s="5">
        <v>0</v>
      </c>
      <c r="K479" s="5">
        <v>4.0999999999999996</v>
      </c>
      <c r="L479" s="6">
        <f t="shared" si="21"/>
        <v>0.35575589459084606</v>
      </c>
      <c r="M479" s="7">
        <f t="shared" si="22"/>
        <v>206</v>
      </c>
      <c r="N479" s="5">
        <f t="shared" si="23"/>
        <v>9.3333333333333339</v>
      </c>
    </row>
    <row r="480" spans="1:14" x14ac:dyDescent="0.25">
      <c r="A480" s="2" t="s">
        <v>189</v>
      </c>
      <c r="B480" s="2" t="s">
        <v>182</v>
      </c>
      <c r="C480" s="2" t="s">
        <v>29</v>
      </c>
      <c r="D480" s="2" t="s">
        <v>18</v>
      </c>
      <c r="E480" s="2">
        <v>164</v>
      </c>
      <c r="F480" s="2">
        <v>77900</v>
      </c>
      <c r="G480" s="2">
        <v>24065</v>
      </c>
      <c r="H480" s="2">
        <v>10</v>
      </c>
      <c r="I480" s="2">
        <v>58</v>
      </c>
      <c r="J480" s="2">
        <v>3</v>
      </c>
      <c r="K480" s="2">
        <v>4.2</v>
      </c>
      <c r="L480" s="3">
        <f t="shared" si="21"/>
        <v>0.3089216944801027</v>
      </c>
      <c r="M480" s="4">
        <f t="shared" si="22"/>
        <v>475</v>
      </c>
      <c r="N480" s="2">
        <f t="shared" si="23"/>
        <v>16.399999999999999</v>
      </c>
    </row>
    <row r="481" spans="1:14" x14ac:dyDescent="0.25">
      <c r="A481" s="5" t="s">
        <v>189</v>
      </c>
      <c r="B481" s="5" t="s">
        <v>182</v>
      </c>
      <c r="C481" s="5" t="s">
        <v>29</v>
      </c>
      <c r="D481" s="5" t="s">
        <v>19</v>
      </c>
      <c r="E481" s="5">
        <v>67</v>
      </c>
      <c r="F481" s="5">
        <v>14539</v>
      </c>
      <c r="G481" s="5">
        <v>5423</v>
      </c>
      <c r="H481" s="5">
        <v>7</v>
      </c>
      <c r="I481" s="5">
        <v>48</v>
      </c>
      <c r="J481" s="5">
        <v>1</v>
      </c>
      <c r="K481" s="5">
        <v>4.3</v>
      </c>
      <c r="L481" s="6">
        <f t="shared" si="21"/>
        <v>0.37299676731549625</v>
      </c>
      <c r="M481" s="7">
        <f t="shared" si="22"/>
        <v>217</v>
      </c>
      <c r="N481" s="5">
        <f t="shared" si="23"/>
        <v>9.5714285714285712</v>
      </c>
    </row>
    <row r="482" spans="1:14" x14ac:dyDescent="0.25">
      <c r="A482" s="2" t="s">
        <v>190</v>
      </c>
      <c r="B482" s="2" t="s">
        <v>182</v>
      </c>
      <c r="C482" s="2" t="s">
        <v>31</v>
      </c>
      <c r="D482" s="2" t="s">
        <v>17</v>
      </c>
      <c r="E482" s="2">
        <v>40</v>
      </c>
      <c r="F482" s="2">
        <v>9880</v>
      </c>
      <c r="G482" s="2">
        <v>2908</v>
      </c>
      <c r="H482" s="2">
        <v>3</v>
      </c>
      <c r="I482" s="2">
        <v>54</v>
      </c>
      <c r="J482" s="2">
        <v>2</v>
      </c>
      <c r="K482" s="2">
        <v>3.8</v>
      </c>
      <c r="L482" s="3">
        <f t="shared" si="21"/>
        <v>0.294331983805668</v>
      </c>
      <c r="M482" s="4">
        <f t="shared" si="22"/>
        <v>247</v>
      </c>
      <c r="N482" s="2">
        <f t="shared" si="23"/>
        <v>13.333333333333334</v>
      </c>
    </row>
    <row r="483" spans="1:14" x14ac:dyDescent="0.25">
      <c r="A483" s="5" t="s">
        <v>190</v>
      </c>
      <c r="B483" s="5" t="s">
        <v>182</v>
      </c>
      <c r="C483" s="5" t="s">
        <v>31</v>
      </c>
      <c r="D483" s="5" t="s">
        <v>18</v>
      </c>
      <c r="E483" s="5">
        <v>111</v>
      </c>
      <c r="F483" s="5">
        <v>49506</v>
      </c>
      <c r="G483" s="5">
        <v>14957</v>
      </c>
      <c r="H483" s="5">
        <v>10</v>
      </c>
      <c r="I483" s="5">
        <v>51</v>
      </c>
      <c r="J483" s="5">
        <v>3</v>
      </c>
      <c r="K483" s="5">
        <v>4.5999999999999996</v>
      </c>
      <c r="L483" s="6">
        <f t="shared" si="21"/>
        <v>0.30212499495010708</v>
      </c>
      <c r="M483" s="7">
        <f t="shared" si="22"/>
        <v>446</v>
      </c>
      <c r="N483" s="5">
        <f t="shared" si="23"/>
        <v>11.1</v>
      </c>
    </row>
    <row r="484" spans="1:14" x14ac:dyDescent="0.25">
      <c r="A484" s="2" t="s">
        <v>190</v>
      </c>
      <c r="B484" s="2" t="s">
        <v>182</v>
      </c>
      <c r="C484" s="2" t="s">
        <v>31</v>
      </c>
      <c r="D484" s="2" t="s">
        <v>19</v>
      </c>
      <c r="E484" s="2">
        <v>72</v>
      </c>
      <c r="F484" s="2">
        <v>20808</v>
      </c>
      <c r="G484" s="2">
        <v>6021</v>
      </c>
      <c r="H484" s="2">
        <v>7</v>
      </c>
      <c r="I484" s="2">
        <v>44</v>
      </c>
      <c r="J484" s="2">
        <v>1</v>
      </c>
      <c r="K484" s="2">
        <v>4.2</v>
      </c>
      <c r="L484" s="3">
        <f t="shared" si="21"/>
        <v>0.28935986159169552</v>
      </c>
      <c r="M484" s="4">
        <f t="shared" si="22"/>
        <v>289</v>
      </c>
      <c r="N484" s="2">
        <f t="shared" si="23"/>
        <v>10.285714285714286</v>
      </c>
    </row>
    <row r="485" spans="1:14" x14ac:dyDescent="0.25">
      <c r="A485" s="5" t="s">
        <v>191</v>
      </c>
      <c r="B485" s="5" t="s">
        <v>182</v>
      </c>
      <c r="C485" s="5" t="s">
        <v>16</v>
      </c>
      <c r="D485" s="5" t="s">
        <v>17</v>
      </c>
      <c r="E485" s="5">
        <v>24</v>
      </c>
      <c r="F485" s="5">
        <v>5424</v>
      </c>
      <c r="G485" s="5">
        <v>1700</v>
      </c>
      <c r="H485" s="5">
        <v>5</v>
      </c>
      <c r="I485" s="5">
        <v>46</v>
      </c>
      <c r="J485" s="5">
        <v>2</v>
      </c>
      <c r="K485" s="5">
        <v>4.0999999999999996</v>
      </c>
      <c r="L485" s="6">
        <f t="shared" si="21"/>
        <v>0.31342182890855458</v>
      </c>
      <c r="M485" s="7">
        <f t="shared" si="22"/>
        <v>226</v>
      </c>
      <c r="N485" s="5">
        <f t="shared" si="23"/>
        <v>4.8</v>
      </c>
    </row>
    <row r="486" spans="1:14" x14ac:dyDescent="0.25">
      <c r="A486" s="2" t="s">
        <v>191</v>
      </c>
      <c r="B486" s="2" t="s">
        <v>182</v>
      </c>
      <c r="C486" s="2" t="s">
        <v>16</v>
      </c>
      <c r="D486" s="2" t="s">
        <v>18</v>
      </c>
      <c r="E486" s="2">
        <v>89</v>
      </c>
      <c r="F486" s="2">
        <v>33642</v>
      </c>
      <c r="G486" s="2">
        <v>10499</v>
      </c>
      <c r="H486" s="2">
        <v>7</v>
      </c>
      <c r="I486" s="2">
        <v>45</v>
      </c>
      <c r="J486" s="2">
        <v>2</v>
      </c>
      <c r="K486" s="2">
        <v>4.2</v>
      </c>
      <c r="L486" s="3">
        <f t="shared" si="21"/>
        <v>0.31208013792283457</v>
      </c>
      <c r="M486" s="4">
        <f t="shared" si="22"/>
        <v>378</v>
      </c>
      <c r="N486" s="2">
        <f t="shared" si="23"/>
        <v>12.714285714285714</v>
      </c>
    </row>
    <row r="487" spans="1:14" x14ac:dyDescent="0.25">
      <c r="A487" s="5" t="s">
        <v>191</v>
      </c>
      <c r="B487" s="5" t="s">
        <v>182</v>
      </c>
      <c r="C487" s="5" t="s">
        <v>16</v>
      </c>
      <c r="D487" s="5" t="s">
        <v>19</v>
      </c>
      <c r="E487" s="5">
        <v>45</v>
      </c>
      <c r="F487" s="5">
        <v>15660</v>
      </c>
      <c r="G487" s="5">
        <v>4410</v>
      </c>
      <c r="H487" s="5">
        <v>7</v>
      </c>
      <c r="I487" s="5">
        <v>48</v>
      </c>
      <c r="J487" s="5">
        <v>1</v>
      </c>
      <c r="K487" s="5">
        <v>4</v>
      </c>
      <c r="L487" s="6">
        <f t="shared" si="21"/>
        <v>0.28160919540229884</v>
      </c>
      <c r="M487" s="7">
        <f t="shared" si="22"/>
        <v>348</v>
      </c>
      <c r="N487" s="5">
        <f t="shared" si="23"/>
        <v>6.4285714285714288</v>
      </c>
    </row>
    <row r="488" spans="1:14" x14ac:dyDescent="0.25">
      <c r="A488" s="2" t="s">
        <v>192</v>
      </c>
      <c r="B488" s="2" t="s">
        <v>182</v>
      </c>
      <c r="C488" s="2" t="s">
        <v>21</v>
      </c>
      <c r="D488" s="2" t="s">
        <v>17</v>
      </c>
      <c r="E488" s="2">
        <v>12</v>
      </c>
      <c r="F488" s="2">
        <v>3132</v>
      </c>
      <c r="G488" s="2">
        <v>1229</v>
      </c>
      <c r="H488" s="2">
        <v>3</v>
      </c>
      <c r="I488" s="2">
        <v>42</v>
      </c>
      <c r="J488" s="2">
        <v>1</v>
      </c>
      <c r="K488" s="2">
        <v>4</v>
      </c>
      <c r="L488" s="3">
        <f t="shared" si="21"/>
        <v>0.39240102171136654</v>
      </c>
      <c r="M488" s="4">
        <f t="shared" si="22"/>
        <v>261</v>
      </c>
      <c r="N488" s="2">
        <f t="shared" si="23"/>
        <v>4</v>
      </c>
    </row>
    <row r="489" spans="1:14" x14ac:dyDescent="0.25">
      <c r="A489" s="5" t="s">
        <v>192</v>
      </c>
      <c r="B489" s="5" t="s">
        <v>182</v>
      </c>
      <c r="C489" s="5" t="s">
        <v>21</v>
      </c>
      <c r="D489" s="5" t="s">
        <v>18</v>
      </c>
      <c r="E489" s="5">
        <v>45</v>
      </c>
      <c r="F489" s="5">
        <v>21285</v>
      </c>
      <c r="G489" s="5">
        <v>6026</v>
      </c>
      <c r="H489" s="5">
        <v>9</v>
      </c>
      <c r="I489" s="5">
        <v>66</v>
      </c>
      <c r="J489" s="5">
        <v>3</v>
      </c>
      <c r="K489" s="5">
        <v>4.3</v>
      </c>
      <c r="L489" s="6">
        <f t="shared" si="21"/>
        <v>0.28311017148226453</v>
      </c>
      <c r="M489" s="7">
        <f t="shared" si="22"/>
        <v>473</v>
      </c>
      <c r="N489" s="5">
        <f t="shared" si="23"/>
        <v>5</v>
      </c>
    </row>
    <row r="490" spans="1:14" x14ac:dyDescent="0.25">
      <c r="A490" s="2" t="s">
        <v>192</v>
      </c>
      <c r="B490" s="2" t="s">
        <v>182</v>
      </c>
      <c r="C490" s="2" t="s">
        <v>21</v>
      </c>
      <c r="D490" s="2" t="s">
        <v>19</v>
      </c>
      <c r="E490" s="2">
        <v>20</v>
      </c>
      <c r="F490" s="2">
        <v>4360</v>
      </c>
      <c r="G490" s="2">
        <v>1760</v>
      </c>
      <c r="H490" s="2">
        <v>5</v>
      </c>
      <c r="I490" s="2">
        <v>51</v>
      </c>
      <c r="J490" s="2">
        <v>1</v>
      </c>
      <c r="K490" s="2">
        <v>4.2</v>
      </c>
      <c r="L490" s="3">
        <f t="shared" si="21"/>
        <v>0.40366972477064222</v>
      </c>
      <c r="M490" s="4">
        <f t="shared" si="22"/>
        <v>218</v>
      </c>
      <c r="N490" s="2">
        <f t="shared" si="23"/>
        <v>4</v>
      </c>
    </row>
    <row r="491" spans="1:14" x14ac:dyDescent="0.25">
      <c r="A491" s="5" t="s">
        <v>193</v>
      </c>
      <c r="B491" s="5" t="s">
        <v>182</v>
      </c>
      <c r="C491" s="5" t="s">
        <v>23</v>
      </c>
      <c r="D491" s="5" t="s">
        <v>17</v>
      </c>
      <c r="E491" s="5">
        <v>38</v>
      </c>
      <c r="F491" s="5">
        <v>7942</v>
      </c>
      <c r="G491" s="5">
        <v>2909</v>
      </c>
      <c r="H491" s="5">
        <v>4</v>
      </c>
      <c r="I491" s="5">
        <v>40</v>
      </c>
      <c r="J491" s="5">
        <v>1</v>
      </c>
      <c r="K491" s="5">
        <v>4.3</v>
      </c>
      <c r="L491" s="6">
        <f t="shared" si="21"/>
        <v>0.36628053387056159</v>
      </c>
      <c r="M491" s="7">
        <f t="shared" si="22"/>
        <v>209</v>
      </c>
      <c r="N491" s="5">
        <f t="shared" si="23"/>
        <v>9.5</v>
      </c>
    </row>
    <row r="492" spans="1:14" x14ac:dyDescent="0.25">
      <c r="A492" s="2" t="s">
        <v>193</v>
      </c>
      <c r="B492" s="2" t="s">
        <v>182</v>
      </c>
      <c r="C492" s="2" t="s">
        <v>23</v>
      </c>
      <c r="D492" s="2" t="s">
        <v>18</v>
      </c>
      <c r="E492" s="2">
        <v>55</v>
      </c>
      <c r="F492" s="2">
        <v>23155</v>
      </c>
      <c r="G492" s="2">
        <v>8506</v>
      </c>
      <c r="H492" s="2">
        <v>10</v>
      </c>
      <c r="I492" s="2">
        <v>71</v>
      </c>
      <c r="J492" s="2">
        <v>1</v>
      </c>
      <c r="K492" s="2">
        <v>4.3</v>
      </c>
      <c r="L492" s="3">
        <f t="shared" si="21"/>
        <v>0.36735046426257828</v>
      </c>
      <c r="M492" s="4">
        <f t="shared" si="22"/>
        <v>421</v>
      </c>
      <c r="N492" s="2">
        <f t="shared" si="23"/>
        <v>5.5</v>
      </c>
    </row>
    <row r="493" spans="1:14" x14ac:dyDescent="0.25">
      <c r="A493" s="5" t="s">
        <v>193</v>
      </c>
      <c r="B493" s="5" t="s">
        <v>182</v>
      </c>
      <c r="C493" s="5" t="s">
        <v>23</v>
      </c>
      <c r="D493" s="5" t="s">
        <v>19</v>
      </c>
      <c r="E493" s="5">
        <v>32</v>
      </c>
      <c r="F493" s="5">
        <v>8288</v>
      </c>
      <c r="G493" s="5">
        <v>2905</v>
      </c>
      <c r="H493" s="5">
        <v>5</v>
      </c>
      <c r="I493" s="5">
        <v>46</v>
      </c>
      <c r="J493" s="5">
        <v>0</v>
      </c>
      <c r="K493" s="5">
        <v>3.6</v>
      </c>
      <c r="L493" s="6">
        <f t="shared" si="21"/>
        <v>0.35050675675675674</v>
      </c>
      <c r="M493" s="7">
        <f t="shared" si="22"/>
        <v>259</v>
      </c>
      <c r="N493" s="5">
        <f t="shared" si="23"/>
        <v>6.4</v>
      </c>
    </row>
    <row r="494" spans="1:14" x14ac:dyDescent="0.25">
      <c r="A494" s="2" t="s">
        <v>194</v>
      </c>
      <c r="B494" s="2" t="s">
        <v>182</v>
      </c>
      <c r="C494" s="2" t="s">
        <v>25</v>
      </c>
      <c r="D494" s="2" t="s">
        <v>17</v>
      </c>
      <c r="E494" s="2">
        <v>42</v>
      </c>
      <c r="F494" s="2">
        <v>10710</v>
      </c>
      <c r="G494" s="2">
        <v>3747</v>
      </c>
      <c r="H494" s="2">
        <v>5</v>
      </c>
      <c r="I494" s="2">
        <v>50</v>
      </c>
      <c r="J494" s="2">
        <v>2</v>
      </c>
      <c r="K494" s="2">
        <v>4.4000000000000004</v>
      </c>
      <c r="L494" s="3">
        <f t="shared" si="21"/>
        <v>0.34985994397759101</v>
      </c>
      <c r="M494" s="4">
        <f t="shared" si="22"/>
        <v>255</v>
      </c>
      <c r="N494" s="2">
        <f t="shared" si="23"/>
        <v>8.4</v>
      </c>
    </row>
    <row r="495" spans="1:14" x14ac:dyDescent="0.25">
      <c r="A495" s="5" t="s">
        <v>194</v>
      </c>
      <c r="B495" s="5" t="s">
        <v>182</v>
      </c>
      <c r="C495" s="5" t="s">
        <v>25</v>
      </c>
      <c r="D495" s="5" t="s">
        <v>18</v>
      </c>
      <c r="E495" s="5">
        <v>82</v>
      </c>
      <c r="F495" s="5">
        <v>27962</v>
      </c>
      <c r="G495" s="5">
        <v>8141</v>
      </c>
      <c r="H495" s="5">
        <v>6</v>
      </c>
      <c r="I495" s="5">
        <v>52</v>
      </c>
      <c r="J495" s="5">
        <v>4</v>
      </c>
      <c r="K495" s="5">
        <v>3.6</v>
      </c>
      <c r="L495" s="6">
        <f t="shared" si="21"/>
        <v>0.2911451255275016</v>
      </c>
      <c r="M495" s="7">
        <f t="shared" si="22"/>
        <v>341</v>
      </c>
      <c r="N495" s="5">
        <f t="shared" si="23"/>
        <v>13.666666666666666</v>
      </c>
    </row>
    <row r="496" spans="1:14" x14ac:dyDescent="0.25">
      <c r="A496" s="2" t="s">
        <v>194</v>
      </c>
      <c r="B496" s="2" t="s">
        <v>182</v>
      </c>
      <c r="C496" s="2" t="s">
        <v>25</v>
      </c>
      <c r="D496" s="2" t="s">
        <v>19</v>
      </c>
      <c r="E496" s="2">
        <v>33</v>
      </c>
      <c r="F496" s="2">
        <v>10824</v>
      </c>
      <c r="G496" s="2">
        <v>3628</v>
      </c>
      <c r="H496" s="2">
        <v>5</v>
      </c>
      <c r="I496" s="2">
        <v>49</v>
      </c>
      <c r="J496" s="2">
        <v>2</v>
      </c>
      <c r="K496" s="2">
        <v>3.7</v>
      </c>
      <c r="L496" s="3">
        <f t="shared" si="21"/>
        <v>0.33518107908351813</v>
      </c>
      <c r="M496" s="4">
        <f t="shared" si="22"/>
        <v>328</v>
      </c>
      <c r="N496" s="2">
        <f t="shared" si="23"/>
        <v>6.6</v>
      </c>
    </row>
    <row r="497" spans="1:14" x14ac:dyDescent="0.25">
      <c r="A497" s="5" t="s">
        <v>195</v>
      </c>
      <c r="B497" s="5" t="s">
        <v>182</v>
      </c>
      <c r="C497" s="5" t="s">
        <v>27</v>
      </c>
      <c r="D497" s="5" t="s">
        <v>17</v>
      </c>
      <c r="E497" s="5">
        <v>58</v>
      </c>
      <c r="F497" s="5">
        <v>15776</v>
      </c>
      <c r="G497" s="5">
        <v>5657</v>
      </c>
      <c r="H497" s="5">
        <v>4</v>
      </c>
      <c r="I497" s="5">
        <v>43</v>
      </c>
      <c r="J497" s="5">
        <v>0</v>
      </c>
      <c r="K497" s="5">
        <v>3.9</v>
      </c>
      <c r="L497" s="6">
        <f t="shared" si="21"/>
        <v>0.35858265720081134</v>
      </c>
      <c r="M497" s="7">
        <f t="shared" si="22"/>
        <v>272</v>
      </c>
      <c r="N497" s="5">
        <f t="shared" si="23"/>
        <v>14.5</v>
      </c>
    </row>
    <row r="498" spans="1:14" x14ac:dyDescent="0.25">
      <c r="A498" s="2" t="s">
        <v>195</v>
      </c>
      <c r="B498" s="2" t="s">
        <v>182</v>
      </c>
      <c r="C498" s="2" t="s">
        <v>27</v>
      </c>
      <c r="D498" s="2" t="s">
        <v>18</v>
      </c>
      <c r="E498" s="2">
        <v>109</v>
      </c>
      <c r="F498" s="2">
        <v>40766</v>
      </c>
      <c r="G498" s="2">
        <v>15874</v>
      </c>
      <c r="H498" s="2">
        <v>9</v>
      </c>
      <c r="I498" s="2">
        <v>61</v>
      </c>
      <c r="J498" s="2">
        <v>2</v>
      </c>
      <c r="K498" s="2">
        <v>4.5</v>
      </c>
      <c r="L498" s="3">
        <f t="shared" si="21"/>
        <v>0.38939312171907964</v>
      </c>
      <c r="M498" s="4">
        <f t="shared" si="22"/>
        <v>374</v>
      </c>
      <c r="N498" s="2">
        <f t="shared" si="23"/>
        <v>12.111111111111111</v>
      </c>
    </row>
    <row r="499" spans="1:14" x14ac:dyDescent="0.25">
      <c r="A499" s="5" t="s">
        <v>195</v>
      </c>
      <c r="B499" s="5" t="s">
        <v>182</v>
      </c>
      <c r="C499" s="5" t="s">
        <v>27</v>
      </c>
      <c r="D499" s="5" t="s">
        <v>19</v>
      </c>
      <c r="E499" s="5">
        <v>54</v>
      </c>
      <c r="F499" s="5">
        <v>14256</v>
      </c>
      <c r="G499" s="5">
        <v>4576</v>
      </c>
      <c r="H499" s="5">
        <v>4</v>
      </c>
      <c r="I499" s="5">
        <v>45</v>
      </c>
      <c r="J499" s="5">
        <v>3</v>
      </c>
      <c r="K499" s="5">
        <v>4.4000000000000004</v>
      </c>
      <c r="L499" s="6">
        <f t="shared" si="21"/>
        <v>0.32098765432098764</v>
      </c>
      <c r="M499" s="7">
        <f t="shared" si="22"/>
        <v>264</v>
      </c>
      <c r="N499" s="5">
        <f t="shared" si="23"/>
        <v>13.5</v>
      </c>
    </row>
    <row r="500" spans="1:14" x14ac:dyDescent="0.25">
      <c r="A500" s="2" t="s">
        <v>196</v>
      </c>
      <c r="B500" s="2" t="s">
        <v>182</v>
      </c>
      <c r="C500" s="2" t="s">
        <v>29</v>
      </c>
      <c r="D500" s="2" t="s">
        <v>17</v>
      </c>
      <c r="E500" s="2">
        <v>36</v>
      </c>
      <c r="F500" s="2">
        <v>9720</v>
      </c>
      <c r="G500" s="2">
        <v>3017</v>
      </c>
      <c r="H500" s="2">
        <v>3</v>
      </c>
      <c r="I500" s="2">
        <v>40</v>
      </c>
      <c r="J500" s="2">
        <v>2</v>
      </c>
      <c r="K500" s="2">
        <v>4.2</v>
      </c>
      <c r="L500" s="3">
        <f t="shared" si="21"/>
        <v>0.31039094650205762</v>
      </c>
      <c r="M500" s="4">
        <f t="shared" si="22"/>
        <v>270</v>
      </c>
      <c r="N500" s="2">
        <f t="shared" si="23"/>
        <v>12</v>
      </c>
    </row>
    <row r="501" spans="1:14" x14ac:dyDescent="0.25">
      <c r="A501" s="5" t="s">
        <v>196</v>
      </c>
      <c r="B501" s="5" t="s">
        <v>182</v>
      </c>
      <c r="C501" s="5" t="s">
        <v>29</v>
      </c>
      <c r="D501" s="5" t="s">
        <v>18</v>
      </c>
      <c r="E501" s="5">
        <v>159</v>
      </c>
      <c r="F501" s="5">
        <v>67734</v>
      </c>
      <c r="G501" s="5">
        <v>22223</v>
      </c>
      <c r="H501" s="5">
        <v>7</v>
      </c>
      <c r="I501" s="5">
        <v>54</v>
      </c>
      <c r="J501" s="5">
        <v>4</v>
      </c>
      <c r="K501" s="5">
        <v>3.5</v>
      </c>
      <c r="L501" s="6">
        <f t="shared" si="21"/>
        <v>0.32809224318658281</v>
      </c>
      <c r="M501" s="7">
        <f t="shared" si="22"/>
        <v>426</v>
      </c>
      <c r="N501" s="5">
        <f t="shared" si="23"/>
        <v>22.714285714285715</v>
      </c>
    </row>
    <row r="502" spans="1:14" x14ac:dyDescent="0.25">
      <c r="A502" s="2" t="s">
        <v>196</v>
      </c>
      <c r="B502" s="2" t="s">
        <v>182</v>
      </c>
      <c r="C502" s="2" t="s">
        <v>29</v>
      </c>
      <c r="D502" s="2" t="s">
        <v>19</v>
      </c>
      <c r="E502" s="2">
        <v>64</v>
      </c>
      <c r="F502" s="2">
        <v>14208</v>
      </c>
      <c r="G502" s="2">
        <v>5392</v>
      </c>
      <c r="H502" s="2">
        <v>4</v>
      </c>
      <c r="I502" s="2">
        <v>43</v>
      </c>
      <c r="J502" s="2">
        <v>3</v>
      </c>
      <c r="K502" s="2">
        <v>3.7</v>
      </c>
      <c r="L502" s="3">
        <f t="shared" si="21"/>
        <v>0.37950450450450451</v>
      </c>
      <c r="M502" s="4">
        <f t="shared" si="22"/>
        <v>222</v>
      </c>
      <c r="N502" s="2">
        <f t="shared" si="23"/>
        <v>16</v>
      </c>
    </row>
    <row r="503" spans="1:14" x14ac:dyDescent="0.25">
      <c r="A503" s="5" t="s">
        <v>197</v>
      </c>
      <c r="B503" s="5" t="s">
        <v>182</v>
      </c>
      <c r="C503" s="5" t="s">
        <v>31</v>
      </c>
      <c r="D503" s="5" t="s">
        <v>17</v>
      </c>
      <c r="E503" s="5">
        <v>40</v>
      </c>
      <c r="F503" s="5">
        <v>8440</v>
      </c>
      <c r="G503" s="5">
        <v>3057</v>
      </c>
      <c r="H503" s="5">
        <v>5</v>
      </c>
      <c r="I503" s="5">
        <v>49</v>
      </c>
      <c r="J503" s="5">
        <v>0</v>
      </c>
      <c r="K503" s="5">
        <v>4.2</v>
      </c>
      <c r="L503" s="6">
        <f t="shared" si="21"/>
        <v>0.36220379146919429</v>
      </c>
      <c r="M503" s="7">
        <f t="shared" si="22"/>
        <v>211</v>
      </c>
      <c r="N503" s="5">
        <f t="shared" si="23"/>
        <v>8</v>
      </c>
    </row>
    <row r="504" spans="1:14" x14ac:dyDescent="0.25">
      <c r="A504" s="2" t="s">
        <v>197</v>
      </c>
      <c r="B504" s="2" t="s">
        <v>182</v>
      </c>
      <c r="C504" s="2" t="s">
        <v>31</v>
      </c>
      <c r="D504" s="2" t="s">
        <v>18</v>
      </c>
      <c r="E504" s="2">
        <v>80</v>
      </c>
      <c r="F504" s="2">
        <v>26560</v>
      </c>
      <c r="G504" s="2">
        <v>7991</v>
      </c>
      <c r="H504" s="2">
        <v>9</v>
      </c>
      <c r="I504" s="2">
        <v>63</v>
      </c>
      <c r="J504" s="2">
        <v>2</v>
      </c>
      <c r="K504" s="2">
        <v>4.3</v>
      </c>
      <c r="L504" s="3">
        <f t="shared" si="21"/>
        <v>0.30086596385542169</v>
      </c>
      <c r="M504" s="4">
        <f t="shared" si="22"/>
        <v>332</v>
      </c>
      <c r="N504" s="2">
        <f t="shared" si="23"/>
        <v>8.8888888888888893</v>
      </c>
    </row>
    <row r="505" spans="1:14" x14ac:dyDescent="0.25">
      <c r="A505" s="5" t="s">
        <v>197</v>
      </c>
      <c r="B505" s="5" t="s">
        <v>182</v>
      </c>
      <c r="C505" s="5" t="s">
        <v>31</v>
      </c>
      <c r="D505" s="5" t="s">
        <v>19</v>
      </c>
      <c r="E505" s="5">
        <v>40</v>
      </c>
      <c r="F505" s="5">
        <v>13720</v>
      </c>
      <c r="G505" s="5">
        <v>4513</v>
      </c>
      <c r="H505" s="5">
        <v>4</v>
      </c>
      <c r="I505" s="5">
        <v>59</v>
      </c>
      <c r="J505" s="5">
        <v>2</v>
      </c>
      <c r="K505" s="5">
        <v>3.7</v>
      </c>
      <c r="L505" s="6">
        <f t="shared" si="21"/>
        <v>0.32893586005830905</v>
      </c>
      <c r="M505" s="7">
        <f t="shared" si="22"/>
        <v>343</v>
      </c>
      <c r="N505" s="5">
        <f t="shared" si="23"/>
        <v>10</v>
      </c>
    </row>
    <row r="506" spans="1:14" x14ac:dyDescent="0.25">
      <c r="A506" s="2" t="s">
        <v>198</v>
      </c>
      <c r="B506" s="2" t="s">
        <v>182</v>
      </c>
      <c r="C506" s="2" t="s">
        <v>16</v>
      </c>
      <c r="D506" s="2" t="s">
        <v>17</v>
      </c>
      <c r="E506" s="2">
        <v>35</v>
      </c>
      <c r="F506" s="2">
        <v>7560</v>
      </c>
      <c r="G506" s="2">
        <v>2930</v>
      </c>
      <c r="H506" s="2">
        <v>4</v>
      </c>
      <c r="I506" s="2">
        <v>48</v>
      </c>
      <c r="J506" s="2">
        <v>0</v>
      </c>
      <c r="K506" s="2">
        <v>4.4000000000000004</v>
      </c>
      <c r="L506" s="3">
        <f t="shared" si="21"/>
        <v>0.38756613756613756</v>
      </c>
      <c r="M506" s="4">
        <f t="shared" si="22"/>
        <v>216</v>
      </c>
      <c r="N506" s="2">
        <f t="shared" si="23"/>
        <v>8.75</v>
      </c>
    </row>
    <row r="507" spans="1:14" x14ac:dyDescent="0.25">
      <c r="A507" s="5" t="s">
        <v>198</v>
      </c>
      <c r="B507" s="5" t="s">
        <v>182</v>
      </c>
      <c r="C507" s="5" t="s">
        <v>16</v>
      </c>
      <c r="D507" s="5" t="s">
        <v>18</v>
      </c>
      <c r="E507" s="5">
        <v>58</v>
      </c>
      <c r="F507" s="5">
        <v>25172</v>
      </c>
      <c r="G507" s="5">
        <v>7477</v>
      </c>
      <c r="H507" s="5">
        <v>7</v>
      </c>
      <c r="I507" s="5">
        <v>60</v>
      </c>
      <c r="J507" s="5">
        <v>4</v>
      </c>
      <c r="K507" s="5">
        <v>3.8</v>
      </c>
      <c r="L507" s="6">
        <f t="shared" si="21"/>
        <v>0.29703638963928175</v>
      </c>
      <c r="M507" s="7">
        <f t="shared" si="22"/>
        <v>434</v>
      </c>
      <c r="N507" s="5">
        <f t="shared" si="23"/>
        <v>8.2857142857142865</v>
      </c>
    </row>
    <row r="508" spans="1:14" x14ac:dyDescent="0.25">
      <c r="A508" s="2" t="s">
        <v>198</v>
      </c>
      <c r="B508" s="2" t="s">
        <v>182</v>
      </c>
      <c r="C508" s="2" t="s">
        <v>16</v>
      </c>
      <c r="D508" s="2" t="s">
        <v>19</v>
      </c>
      <c r="E508" s="2">
        <v>30</v>
      </c>
      <c r="F508" s="2">
        <v>9930</v>
      </c>
      <c r="G508" s="2">
        <v>3894</v>
      </c>
      <c r="H508" s="2">
        <v>7</v>
      </c>
      <c r="I508" s="2">
        <v>46</v>
      </c>
      <c r="J508" s="2">
        <v>2</v>
      </c>
      <c r="K508" s="2">
        <v>4</v>
      </c>
      <c r="L508" s="3">
        <f t="shared" si="21"/>
        <v>0.39214501510574018</v>
      </c>
      <c r="M508" s="4">
        <f t="shared" si="22"/>
        <v>331</v>
      </c>
      <c r="N508" s="2">
        <f t="shared" si="23"/>
        <v>4.2857142857142856</v>
      </c>
    </row>
    <row r="509" spans="1:14" x14ac:dyDescent="0.25">
      <c r="A509" s="5" t="s">
        <v>199</v>
      </c>
      <c r="B509" s="5" t="s">
        <v>182</v>
      </c>
      <c r="C509" s="5" t="s">
        <v>21</v>
      </c>
      <c r="D509" s="5" t="s">
        <v>17</v>
      </c>
      <c r="E509" s="5">
        <v>21</v>
      </c>
      <c r="F509" s="5">
        <v>3969</v>
      </c>
      <c r="G509" s="5">
        <v>1372</v>
      </c>
      <c r="H509" s="5">
        <v>3</v>
      </c>
      <c r="I509" s="5">
        <v>41</v>
      </c>
      <c r="J509" s="5">
        <v>1</v>
      </c>
      <c r="K509" s="5">
        <v>3.9</v>
      </c>
      <c r="L509" s="6">
        <f t="shared" si="21"/>
        <v>0.34567901234567899</v>
      </c>
      <c r="M509" s="7">
        <f t="shared" si="22"/>
        <v>189</v>
      </c>
      <c r="N509" s="5">
        <f t="shared" si="23"/>
        <v>7</v>
      </c>
    </row>
    <row r="510" spans="1:14" x14ac:dyDescent="0.25">
      <c r="A510" s="2" t="s">
        <v>199</v>
      </c>
      <c r="B510" s="2" t="s">
        <v>182</v>
      </c>
      <c r="C510" s="2" t="s">
        <v>21</v>
      </c>
      <c r="D510" s="2" t="s">
        <v>18</v>
      </c>
      <c r="E510" s="2">
        <v>38</v>
      </c>
      <c r="F510" s="2">
        <v>12426</v>
      </c>
      <c r="G510" s="2">
        <v>4295</v>
      </c>
      <c r="H510" s="2">
        <v>9</v>
      </c>
      <c r="I510" s="2">
        <v>50</v>
      </c>
      <c r="J510" s="2">
        <v>3</v>
      </c>
      <c r="K510" s="2">
        <v>4.7</v>
      </c>
      <c r="L510" s="3">
        <f t="shared" si="21"/>
        <v>0.34564622565588282</v>
      </c>
      <c r="M510" s="4">
        <f t="shared" si="22"/>
        <v>327</v>
      </c>
      <c r="N510" s="2">
        <f t="shared" si="23"/>
        <v>4.2222222222222223</v>
      </c>
    </row>
    <row r="511" spans="1:14" x14ac:dyDescent="0.25">
      <c r="A511" s="5" t="s">
        <v>199</v>
      </c>
      <c r="B511" s="5" t="s">
        <v>182</v>
      </c>
      <c r="C511" s="5" t="s">
        <v>21</v>
      </c>
      <c r="D511" s="5" t="s">
        <v>19</v>
      </c>
      <c r="E511" s="5">
        <v>46</v>
      </c>
      <c r="F511" s="5">
        <v>15272</v>
      </c>
      <c r="G511" s="5">
        <v>4900</v>
      </c>
      <c r="H511" s="5">
        <v>6</v>
      </c>
      <c r="I511" s="5">
        <v>50</v>
      </c>
      <c r="J511" s="5">
        <v>1</v>
      </c>
      <c r="K511" s="5">
        <v>4</v>
      </c>
      <c r="L511" s="6">
        <f t="shared" si="21"/>
        <v>0.32084861183865898</v>
      </c>
      <c r="M511" s="7">
        <f t="shared" si="22"/>
        <v>332</v>
      </c>
      <c r="N511" s="5">
        <f t="shared" si="23"/>
        <v>7.666666666666667</v>
      </c>
    </row>
    <row r="512" spans="1:14" x14ac:dyDescent="0.25">
      <c r="A512" s="2" t="s">
        <v>200</v>
      </c>
      <c r="B512" s="2" t="s">
        <v>182</v>
      </c>
      <c r="C512" s="2" t="s">
        <v>23</v>
      </c>
      <c r="D512" s="2" t="s">
        <v>17</v>
      </c>
      <c r="E512" s="2">
        <v>19</v>
      </c>
      <c r="F512" s="2">
        <v>5206</v>
      </c>
      <c r="G512" s="2">
        <v>1746</v>
      </c>
      <c r="H512" s="2">
        <v>5</v>
      </c>
      <c r="I512" s="2">
        <v>39</v>
      </c>
      <c r="J512" s="2">
        <v>0</v>
      </c>
      <c r="K512" s="2">
        <v>4.4000000000000004</v>
      </c>
      <c r="L512" s="3">
        <f t="shared" si="21"/>
        <v>0.33538225124855936</v>
      </c>
      <c r="M512" s="4">
        <f t="shared" si="22"/>
        <v>274</v>
      </c>
      <c r="N512" s="2">
        <f t="shared" si="23"/>
        <v>3.8</v>
      </c>
    </row>
    <row r="513" spans="1:14" x14ac:dyDescent="0.25">
      <c r="A513" s="5" t="s">
        <v>200</v>
      </c>
      <c r="B513" s="5" t="s">
        <v>182</v>
      </c>
      <c r="C513" s="5" t="s">
        <v>23</v>
      </c>
      <c r="D513" s="5" t="s">
        <v>18</v>
      </c>
      <c r="E513" s="5">
        <v>61</v>
      </c>
      <c r="F513" s="5">
        <v>23546</v>
      </c>
      <c r="G513" s="5">
        <v>8708</v>
      </c>
      <c r="H513" s="5">
        <v>8</v>
      </c>
      <c r="I513" s="5">
        <v>47</v>
      </c>
      <c r="J513" s="5">
        <v>1</v>
      </c>
      <c r="K513" s="5">
        <v>4.3</v>
      </c>
      <c r="L513" s="6">
        <f t="shared" si="21"/>
        <v>0.36982927036439311</v>
      </c>
      <c r="M513" s="7">
        <f t="shared" si="22"/>
        <v>386</v>
      </c>
      <c r="N513" s="5">
        <f t="shared" si="23"/>
        <v>7.625</v>
      </c>
    </row>
    <row r="514" spans="1:14" x14ac:dyDescent="0.25">
      <c r="A514" s="2" t="s">
        <v>200</v>
      </c>
      <c r="B514" s="2" t="s">
        <v>182</v>
      </c>
      <c r="C514" s="2" t="s">
        <v>23</v>
      </c>
      <c r="D514" s="2" t="s">
        <v>19</v>
      </c>
      <c r="E514" s="2">
        <v>50</v>
      </c>
      <c r="F514" s="2">
        <v>13500</v>
      </c>
      <c r="G514" s="2">
        <v>4891</v>
      </c>
      <c r="H514" s="2">
        <v>6</v>
      </c>
      <c r="I514" s="2">
        <v>42</v>
      </c>
      <c r="J514" s="2">
        <v>2</v>
      </c>
      <c r="K514" s="2">
        <v>4</v>
      </c>
      <c r="L514" s="3">
        <f t="shared" ref="L514:L577" si="24">G514/F514</f>
        <v>0.36229629629629628</v>
      </c>
      <c r="M514" s="4">
        <f t="shared" ref="M514:M577" si="25">F514/E514</f>
        <v>270</v>
      </c>
      <c r="N514" s="2">
        <f t="shared" ref="N514:N577" si="26">E514/H514</f>
        <v>8.3333333333333339</v>
      </c>
    </row>
    <row r="515" spans="1:14" x14ac:dyDescent="0.25">
      <c r="A515" s="5" t="s">
        <v>201</v>
      </c>
      <c r="B515" s="5" t="s">
        <v>182</v>
      </c>
      <c r="C515" s="5" t="s">
        <v>25</v>
      </c>
      <c r="D515" s="5" t="s">
        <v>17</v>
      </c>
      <c r="E515" s="5">
        <v>21</v>
      </c>
      <c r="F515" s="5">
        <v>4494</v>
      </c>
      <c r="G515" s="5">
        <v>1579</v>
      </c>
      <c r="H515" s="5">
        <v>5</v>
      </c>
      <c r="I515" s="5">
        <v>36</v>
      </c>
      <c r="J515" s="5">
        <v>2</v>
      </c>
      <c r="K515" s="5">
        <v>3.8</v>
      </c>
      <c r="L515" s="6">
        <f t="shared" si="24"/>
        <v>0.35135736537605694</v>
      </c>
      <c r="M515" s="7">
        <f t="shared" si="25"/>
        <v>214</v>
      </c>
      <c r="N515" s="5">
        <f t="shared" si="26"/>
        <v>4.2</v>
      </c>
    </row>
    <row r="516" spans="1:14" x14ac:dyDescent="0.25">
      <c r="A516" s="2" t="s">
        <v>201</v>
      </c>
      <c r="B516" s="2" t="s">
        <v>182</v>
      </c>
      <c r="C516" s="2" t="s">
        <v>25</v>
      </c>
      <c r="D516" s="2" t="s">
        <v>18</v>
      </c>
      <c r="E516" s="2">
        <v>64</v>
      </c>
      <c r="F516" s="2">
        <v>27008</v>
      </c>
      <c r="G516" s="2">
        <v>7715</v>
      </c>
      <c r="H516" s="2">
        <v>6</v>
      </c>
      <c r="I516" s="2">
        <v>54</v>
      </c>
      <c r="J516" s="2">
        <v>3</v>
      </c>
      <c r="K516" s="2">
        <v>4.4000000000000004</v>
      </c>
      <c r="L516" s="3">
        <f t="shared" si="24"/>
        <v>0.28565610189573459</v>
      </c>
      <c r="M516" s="4">
        <f t="shared" si="25"/>
        <v>422</v>
      </c>
      <c r="N516" s="2">
        <f t="shared" si="26"/>
        <v>10.666666666666666</v>
      </c>
    </row>
    <row r="517" spans="1:14" x14ac:dyDescent="0.25">
      <c r="A517" s="5" t="s">
        <v>201</v>
      </c>
      <c r="B517" s="5" t="s">
        <v>182</v>
      </c>
      <c r="C517" s="5" t="s">
        <v>25</v>
      </c>
      <c r="D517" s="5" t="s">
        <v>19</v>
      </c>
      <c r="E517" s="5">
        <v>44</v>
      </c>
      <c r="F517" s="5">
        <v>12980</v>
      </c>
      <c r="G517" s="5">
        <v>4210</v>
      </c>
      <c r="H517" s="5">
        <v>6</v>
      </c>
      <c r="I517" s="5">
        <v>47</v>
      </c>
      <c r="J517" s="5">
        <v>0</v>
      </c>
      <c r="K517" s="5">
        <v>4.0999999999999996</v>
      </c>
      <c r="L517" s="6">
        <f t="shared" si="24"/>
        <v>0.32434514637904466</v>
      </c>
      <c r="M517" s="7">
        <f t="shared" si="25"/>
        <v>295</v>
      </c>
      <c r="N517" s="5">
        <f t="shared" si="26"/>
        <v>7.333333333333333</v>
      </c>
    </row>
    <row r="518" spans="1:14" x14ac:dyDescent="0.25">
      <c r="A518" s="2" t="s">
        <v>202</v>
      </c>
      <c r="B518" s="2" t="s">
        <v>182</v>
      </c>
      <c r="C518" s="2" t="s">
        <v>27</v>
      </c>
      <c r="D518" s="2" t="s">
        <v>17</v>
      </c>
      <c r="E518" s="2">
        <v>54</v>
      </c>
      <c r="F518" s="2">
        <v>10206</v>
      </c>
      <c r="G518" s="2">
        <v>3606</v>
      </c>
      <c r="H518" s="2">
        <v>5</v>
      </c>
      <c r="I518" s="2">
        <v>38</v>
      </c>
      <c r="J518" s="2">
        <v>1</v>
      </c>
      <c r="K518" s="2">
        <v>4.4000000000000004</v>
      </c>
      <c r="L518" s="3">
        <f t="shared" si="24"/>
        <v>0.35332157554379778</v>
      </c>
      <c r="M518" s="4">
        <f t="shared" si="25"/>
        <v>189</v>
      </c>
      <c r="N518" s="2">
        <f t="shared" si="26"/>
        <v>10.8</v>
      </c>
    </row>
    <row r="519" spans="1:14" x14ac:dyDescent="0.25">
      <c r="A519" s="5" t="s">
        <v>202</v>
      </c>
      <c r="B519" s="5" t="s">
        <v>182</v>
      </c>
      <c r="C519" s="5" t="s">
        <v>27</v>
      </c>
      <c r="D519" s="5" t="s">
        <v>18</v>
      </c>
      <c r="E519" s="5">
        <v>89</v>
      </c>
      <c r="F519" s="5">
        <v>33464</v>
      </c>
      <c r="G519" s="5">
        <v>10601</v>
      </c>
      <c r="H519" s="5">
        <v>7</v>
      </c>
      <c r="I519" s="5">
        <v>60</v>
      </c>
      <c r="J519" s="5">
        <v>3</v>
      </c>
      <c r="K519" s="5">
        <v>3.8</v>
      </c>
      <c r="L519" s="6">
        <f t="shared" si="24"/>
        <v>0.31678819029404731</v>
      </c>
      <c r="M519" s="7">
        <f t="shared" si="25"/>
        <v>376</v>
      </c>
      <c r="N519" s="5">
        <f t="shared" si="26"/>
        <v>12.714285714285714</v>
      </c>
    </row>
    <row r="520" spans="1:14" x14ac:dyDescent="0.25">
      <c r="A520" s="2" t="s">
        <v>202</v>
      </c>
      <c r="B520" s="2" t="s">
        <v>182</v>
      </c>
      <c r="C520" s="2" t="s">
        <v>27</v>
      </c>
      <c r="D520" s="2" t="s">
        <v>19</v>
      </c>
      <c r="E520" s="2">
        <v>44</v>
      </c>
      <c r="F520" s="2">
        <v>9460</v>
      </c>
      <c r="G520" s="2">
        <v>3045</v>
      </c>
      <c r="H520" s="2">
        <v>5</v>
      </c>
      <c r="I520" s="2">
        <v>48</v>
      </c>
      <c r="J520" s="2">
        <v>1</v>
      </c>
      <c r="K520" s="2">
        <v>4.0999999999999996</v>
      </c>
      <c r="L520" s="3">
        <f t="shared" si="24"/>
        <v>0.32188160676532768</v>
      </c>
      <c r="M520" s="4">
        <f t="shared" si="25"/>
        <v>215</v>
      </c>
      <c r="N520" s="2">
        <f t="shared" si="26"/>
        <v>8.8000000000000007</v>
      </c>
    </row>
    <row r="521" spans="1:14" x14ac:dyDescent="0.25">
      <c r="A521" s="5" t="s">
        <v>203</v>
      </c>
      <c r="B521" s="5" t="s">
        <v>182</v>
      </c>
      <c r="C521" s="5" t="s">
        <v>29</v>
      </c>
      <c r="D521" s="5" t="s">
        <v>17</v>
      </c>
      <c r="E521" s="5">
        <v>36</v>
      </c>
      <c r="F521" s="5">
        <v>9612</v>
      </c>
      <c r="G521" s="5">
        <v>3791</v>
      </c>
      <c r="H521" s="5">
        <v>4</v>
      </c>
      <c r="I521" s="5">
        <v>55</v>
      </c>
      <c r="J521" s="5">
        <v>1</v>
      </c>
      <c r="K521" s="5">
        <v>3.8</v>
      </c>
      <c r="L521" s="6">
        <f t="shared" si="24"/>
        <v>0.39440282979608821</v>
      </c>
      <c r="M521" s="7">
        <f t="shared" si="25"/>
        <v>267</v>
      </c>
      <c r="N521" s="5">
        <f t="shared" si="26"/>
        <v>9</v>
      </c>
    </row>
    <row r="522" spans="1:14" x14ac:dyDescent="0.25">
      <c r="A522" s="2" t="s">
        <v>203</v>
      </c>
      <c r="B522" s="2" t="s">
        <v>182</v>
      </c>
      <c r="C522" s="2" t="s">
        <v>29</v>
      </c>
      <c r="D522" s="2" t="s">
        <v>18</v>
      </c>
      <c r="E522" s="2">
        <v>116</v>
      </c>
      <c r="F522" s="2">
        <v>43616</v>
      </c>
      <c r="G522" s="2">
        <v>14062</v>
      </c>
      <c r="H522" s="2">
        <v>7</v>
      </c>
      <c r="I522" s="2">
        <v>73</v>
      </c>
      <c r="J522" s="2">
        <v>0</v>
      </c>
      <c r="K522" s="2">
        <v>4.3</v>
      </c>
      <c r="L522" s="3">
        <f t="shared" si="24"/>
        <v>0.3224046221570066</v>
      </c>
      <c r="M522" s="4">
        <f t="shared" si="25"/>
        <v>376</v>
      </c>
      <c r="N522" s="2">
        <f t="shared" si="26"/>
        <v>16.571428571428573</v>
      </c>
    </row>
    <row r="523" spans="1:14" x14ac:dyDescent="0.25">
      <c r="A523" s="5" t="s">
        <v>203</v>
      </c>
      <c r="B523" s="5" t="s">
        <v>182</v>
      </c>
      <c r="C523" s="5" t="s">
        <v>29</v>
      </c>
      <c r="D523" s="5" t="s">
        <v>19</v>
      </c>
      <c r="E523" s="5">
        <v>60</v>
      </c>
      <c r="F523" s="5">
        <v>14040</v>
      </c>
      <c r="G523" s="5">
        <v>3958</v>
      </c>
      <c r="H523" s="5">
        <v>4</v>
      </c>
      <c r="I523" s="5">
        <v>65</v>
      </c>
      <c r="J523" s="5">
        <v>2</v>
      </c>
      <c r="K523" s="5">
        <v>4.5</v>
      </c>
      <c r="L523" s="6">
        <f t="shared" si="24"/>
        <v>0.28190883190883192</v>
      </c>
      <c r="M523" s="7">
        <f t="shared" si="25"/>
        <v>234</v>
      </c>
      <c r="N523" s="5">
        <f t="shared" si="26"/>
        <v>15</v>
      </c>
    </row>
    <row r="524" spans="1:14" x14ac:dyDescent="0.25">
      <c r="A524" s="2" t="s">
        <v>204</v>
      </c>
      <c r="B524" s="2" t="s">
        <v>182</v>
      </c>
      <c r="C524" s="2" t="s">
        <v>31</v>
      </c>
      <c r="D524" s="2" t="s">
        <v>17</v>
      </c>
      <c r="E524" s="2">
        <v>37</v>
      </c>
      <c r="F524" s="2">
        <v>9361</v>
      </c>
      <c r="G524" s="2">
        <v>3705</v>
      </c>
      <c r="H524" s="2">
        <v>3</v>
      </c>
      <c r="I524" s="2">
        <v>51</v>
      </c>
      <c r="J524" s="2">
        <v>2</v>
      </c>
      <c r="K524" s="2">
        <v>4.2</v>
      </c>
      <c r="L524" s="3">
        <f t="shared" si="24"/>
        <v>0.39579104796496101</v>
      </c>
      <c r="M524" s="4">
        <f t="shared" si="25"/>
        <v>253</v>
      </c>
      <c r="N524" s="2">
        <f t="shared" si="26"/>
        <v>12.333333333333334</v>
      </c>
    </row>
    <row r="525" spans="1:14" x14ac:dyDescent="0.25">
      <c r="A525" s="5" t="s">
        <v>204</v>
      </c>
      <c r="B525" s="5" t="s">
        <v>182</v>
      </c>
      <c r="C525" s="5" t="s">
        <v>31</v>
      </c>
      <c r="D525" s="5" t="s">
        <v>18</v>
      </c>
      <c r="E525" s="5">
        <v>85</v>
      </c>
      <c r="F525" s="5">
        <v>38335</v>
      </c>
      <c r="G525" s="5">
        <v>11262</v>
      </c>
      <c r="H525" s="5">
        <v>10</v>
      </c>
      <c r="I525" s="5">
        <v>56</v>
      </c>
      <c r="J525" s="5">
        <v>1</v>
      </c>
      <c r="K525" s="5">
        <v>4.3</v>
      </c>
      <c r="L525" s="6">
        <f t="shared" si="24"/>
        <v>0.29377853136820137</v>
      </c>
      <c r="M525" s="7">
        <f t="shared" si="25"/>
        <v>451</v>
      </c>
      <c r="N525" s="5">
        <f t="shared" si="26"/>
        <v>8.5</v>
      </c>
    </row>
    <row r="526" spans="1:14" x14ac:dyDescent="0.25">
      <c r="A526" s="2" t="s">
        <v>204</v>
      </c>
      <c r="B526" s="2" t="s">
        <v>182</v>
      </c>
      <c r="C526" s="2" t="s">
        <v>31</v>
      </c>
      <c r="D526" s="2" t="s">
        <v>19</v>
      </c>
      <c r="E526" s="2">
        <v>47</v>
      </c>
      <c r="F526" s="2">
        <v>15134</v>
      </c>
      <c r="G526" s="2">
        <v>4730</v>
      </c>
      <c r="H526" s="2">
        <v>4</v>
      </c>
      <c r="I526" s="2">
        <v>51</v>
      </c>
      <c r="J526" s="2">
        <v>3</v>
      </c>
      <c r="K526" s="2">
        <v>3.8</v>
      </c>
      <c r="L526" s="3">
        <f t="shared" si="24"/>
        <v>0.31254129774018768</v>
      </c>
      <c r="M526" s="4">
        <f t="shared" si="25"/>
        <v>322</v>
      </c>
      <c r="N526" s="2">
        <f t="shared" si="26"/>
        <v>11.75</v>
      </c>
    </row>
    <row r="527" spans="1:14" x14ac:dyDescent="0.25">
      <c r="A527" s="5" t="s">
        <v>205</v>
      </c>
      <c r="B527" s="5" t="s">
        <v>182</v>
      </c>
      <c r="C527" s="5" t="s">
        <v>16</v>
      </c>
      <c r="D527" s="5" t="s">
        <v>17</v>
      </c>
      <c r="E527" s="5">
        <v>35</v>
      </c>
      <c r="F527" s="5">
        <v>8365</v>
      </c>
      <c r="G527" s="5">
        <v>3375</v>
      </c>
      <c r="H527" s="5">
        <v>5</v>
      </c>
      <c r="I527" s="5">
        <v>38</v>
      </c>
      <c r="J527" s="5">
        <v>0</v>
      </c>
      <c r="K527" s="5">
        <v>4.0999999999999996</v>
      </c>
      <c r="L527" s="6">
        <f t="shared" si="24"/>
        <v>0.40346682606096834</v>
      </c>
      <c r="M527" s="7">
        <f t="shared" si="25"/>
        <v>239</v>
      </c>
      <c r="N527" s="5">
        <f t="shared" si="26"/>
        <v>7</v>
      </c>
    </row>
    <row r="528" spans="1:14" x14ac:dyDescent="0.25">
      <c r="A528" s="2" t="s">
        <v>205</v>
      </c>
      <c r="B528" s="2" t="s">
        <v>182</v>
      </c>
      <c r="C528" s="2" t="s">
        <v>16</v>
      </c>
      <c r="D528" s="2" t="s">
        <v>18</v>
      </c>
      <c r="E528" s="2">
        <v>79</v>
      </c>
      <c r="F528" s="2">
        <v>25438</v>
      </c>
      <c r="G528" s="2">
        <v>9276</v>
      </c>
      <c r="H528" s="2">
        <v>9</v>
      </c>
      <c r="I528" s="2">
        <v>58</v>
      </c>
      <c r="J528" s="2">
        <v>2</v>
      </c>
      <c r="K528" s="2">
        <v>4.2</v>
      </c>
      <c r="L528" s="3">
        <f t="shared" si="24"/>
        <v>0.36465130906517806</v>
      </c>
      <c r="M528" s="4">
        <f t="shared" si="25"/>
        <v>322</v>
      </c>
      <c r="N528" s="2">
        <f t="shared" si="26"/>
        <v>8.7777777777777786</v>
      </c>
    </row>
    <row r="529" spans="1:14" x14ac:dyDescent="0.25">
      <c r="A529" s="5" t="s">
        <v>205</v>
      </c>
      <c r="B529" s="5" t="s">
        <v>182</v>
      </c>
      <c r="C529" s="5" t="s">
        <v>16</v>
      </c>
      <c r="D529" s="5" t="s">
        <v>19</v>
      </c>
      <c r="E529" s="5">
        <v>22</v>
      </c>
      <c r="F529" s="5">
        <v>6732</v>
      </c>
      <c r="G529" s="5">
        <v>2624</v>
      </c>
      <c r="H529" s="5">
        <v>7</v>
      </c>
      <c r="I529" s="5">
        <v>41</v>
      </c>
      <c r="J529" s="5">
        <v>1</v>
      </c>
      <c r="K529" s="5">
        <v>3.7</v>
      </c>
      <c r="L529" s="6">
        <f t="shared" si="24"/>
        <v>0.38978015448603681</v>
      </c>
      <c r="M529" s="7">
        <f t="shared" si="25"/>
        <v>306</v>
      </c>
      <c r="N529" s="5">
        <f t="shared" si="26"/>
        <v>3.1428571428571428</v>
      </c>
    </row>
    <row r="530" spans="1:14" x14ac:dyDescent="0.25">
      <c r="A530" s="2" t="s">
        <v>206</v>
      </c>
      <c r="B530" s="2" t="s">
        <v>182</v>
      </c>
      <c r="C530" s="2" t="s">
        <v>21</v>
      </c>
      <c r="D530" s="2" t="s">
        <v>17</v>
      </c>
      <c r="E530" s="2">
        <v>32</v>
      </c>
      <c r="F530" s="2">
        <v>7008</v>
      </c>
      <c r="G530" s="2">
        <v>2583</v>
      </c>
      <c r="H530" s="2">
        <v>3</v>
      </c>
      <c r="I530" s="2">
        <v>49</v>
      </c>
      <c r="J530" s="2">
        <v>0</v>
      </c>
      <c r="K530" s="2">
        <v>4.2</v>
      </c>
      <c r="L530" s="3">
        <f t="shared" si="24"/>
        <v>0.36857876712328769</v>
      </c>
      <c r="M530" s="4">
        <f t="shared" si="25"/>
        <v>219</v>
      </c>
      <c r="N530" s="2">
        <f t="shared" si="26"/>
        <v>10.666666666666666</v>
      </c>
    </row>
    <row r="531" spans="1:14" x14ac:dyDescent="0.25">
      <c r="A531" s="5" t="s">
        <v>206</v>
      </c>
      <c r="B531" s="5" t="s">
        <v>182</v>
      </c>
      <c r="C531" s="5" t="s">
        <v>21</v>
      </c>
      <c r="D531" s="5" t="s">
        <v>18</v>
      </c>
      <c r="E531" s="5">
        <v>49</v>
      </c>
      <c r="F531" s="5">
        <v>14994</v>
      </c>
      <c r="G531" s="5">
        <v>4759</v>
      </c>
      <c r="H531" s="5">
        <v>6</v>
      </c>
      <c r="I531" s="5">
        <v>47</v>
      </c>
      <c r="J531" s="5">
        <v>2</v>
      </c>
      <c r="K531" s="5">
        <v>4.7</v>
      </c>
      <c r="L531" s="6">
        <f t="shared" si="24"/>
        <v>0.31739362411631317</v>
      </c>
      <c r="M531" s="7">
        <f t="shared" si="25"/>
        <v>306</v>
      </c>
      <c r="N531" s="5">
        <f t="shared" si="26"/>
        <v>8.1666666666666661</v>
      </c>
    </row>
    <row r="532" spans="1:14" x14ac:dyDescent="0.25">
      <c r="A532" s="2" t="s">
        <v>206</v>
      </c>
      <c r="B532" s="2" t="s">
        <v>182</v>
      </c>
      <c r="C532" s="2" t="s">
        <v>21</v>
      </c>
      <c r="D532" s="2" t="s">
        <v>19</v>
      </c>
      <c r="E532" s="2">
        <v>49</v>
      </c>
      <c r="F532" s="2">
        <v>12593</v>
      </c>
      <c r="G532" s="2">
        <v>5220</v>
      </c>
      <c r="H532" s="2">
        <v>7</v>
      </c>
      <c r="I532" s="2">
        <v>52</v>
      </c>
      <c r="J532" s="2">
        <v>2</v>
      </c>
      <c r="K532" s="2">
        <v>4.0999999999999996</v>
      </c>
      <c r="L532" s="3">
        <f t="shared" si="24"/>
        <v>0.41451600095291036</v>
      </c>
      <c r="M532" s="4">
        <f t="shared" si="25"/>
        <v>257</v>
      </c>
      <c r="N532" s="2">
        <f t="shared" si="26"/>
        <v>7</v>
      </c>
    </row>
    <row r="533" spans="1:14" x14ac:dyDescent="0.25">
      <c r="A533" s="5" t="s">
        <v>207</v>
      </c>
      <c r="B533" s="5" t="s">
        <v>182</v>
      </c>
      <c r="C533" s="5" t="s">
        <v>23</v>
      </c>
      <c r="D533" s="5" t="s">
        <v>17</v>
      </c>
      <c r="E533" s="5">
        <v>19</v>
      </c>
      <c r="F533" s="5">
        <v>4275</v>
      </c>
      <c r="G533" s="5">
        <v>1464</v>
      </c>
      <c r="H533" s="5">
        <v>5</v>
      </c>
      <c r="I533" s="5">
        <v>41</v>
      </c>
      <c r="J533" s="5">
        <v>1</v>
      </c>
      <c r="K533" s="5">
        <v>4.2</v>
      </c>
      <c r="L533" s="6">
        <f t="shared" si="24"/>
        <v>0.34245614035087718</v>
      </c>
      <c r="M533" s="7">
        <f t="shared" si="25"/>
        <v>225</v>
      </c>
      <c r="N533" s="5">
        <f t="shared" si="26"/>
        <v>3.8</v>
      </c>
    </row>
    <row r="534" spans="1:14" x14ac:dyDescent="0.25">
      <c r="A534" s="2" t="s">
        <v>207</v>
      </c>
      <c r="B534" s="2" t="s">
        <v>182</v>
      </c>
      <c r="C534" s="2" t="s">
        <v>23</v>
      </c>
      <c r="D534" s="2" t="s">
        <v>18</v>
      </c>
      <c r="E534" s="2">
        <v>40</v>
      </c>
      <c r="F534" s="2">
        <v>17560</v>
      </c>
      <c r="G534" s="2">
        <v>6857</v>
      </c>
      <c r="H534" s="2">
        <v>8</v>
      </c>
      <c r="I534" s="2">
        <v>49</v>
      </c>
      <c r="J534" s="2">
        <v>3</v>
      </c>
      <c r="K534" s="2">
        <v>4.3</v>
      </c>
      <c r="L534" s="3">
        <f t="shared" si="24"/>
        <v>0.39048974943052389</v>
      </c>
      <c r="M534" s="4">
        <f t="shared" si="25"/>
        <v>439</v>
      </c>
      <c r="N534" s="2">
        <f t="shared" si="26"/>
        <v>5</v>
      </c>
    </row>
    <row r="535" spans="1:14" x14ac:dyDescent="0.25">
      <c r="A535" s="5" t="s">
        <v>207</v>
      </c>
      <c r="B535" s="5" t="s">
        <v>182</v>
      </c>
      <c r="C535" s="5" t="s">
        <v>23</v>
      </c>
      <c r="D535" s="5" t="s">
        <v>19</v>
      </c>
      <c r="E535" s="5">
        <v>40</v>
      </c>
      <c r="F535" s="5">
        <v>10000</v>
      </c>
      <c r="G535" s="5">
        <v>3326</v>
      </c>
      <c r="H535" s="5">
        <v>7</v>
      </c>
      <c r="I535" s="5">
        <v>52</v>
      </c>
      <c r="J535" s="5">
        <v>1</v>
      </c>
      <c r="K535" s="5">
        <v>4.5</v>
      </c>
      <c r="L535" s="6">
        <f t="shared" si="24"/>
        <v>0.33260000000000001</v>
      </c>
      <c r="M535" s="7">
        <f t="shared" si="25"/>
        <v>250</v>
      </c>
      <c r="N535" s="5">
        <f t="shared" si="26"/>
        <v>5.7142857142857144</v>
      </c>
    </row>
    <row r="536" spans="1:14" x14ac:dyDescent="0.25">
      <c r="A536" s="2" t="s">
        <v>208</v>
      </c>
      <c r="B536" s="2" t="s">
        <v>182</v>
      </c>
      <c r="C536" s="2" t="s">
        <v>25</v>
      </c>
      <c r="D536" s="2" t="s">
        <v>17</v>
      </c>
      <c r="E536" s="2">
        <v>15</v>
      </c>
      <c r="F536" s="2">
        <v>2700</v>
      </c>
      <c r="G536" s="2">
        <v>905</v>
      </c>
      <c r="H536" s="2">
        <v>4</v>
      </c>
      <c r="I536" s="2">
        <v>40</v>
      </c>
      <c r="J536" s="2">
        <v>0</v>
      </c>
      <c r="K536" s="2">
        <v>4.4000000000000004</v>
      </c>
      <c r="L536" s="3">
        <f t="shared" si="24"/>
        <v>0.3351851851851852</v>
      </c>
      <c r="M536" s="4">
        <f t="shared" si="25"/>
        <v>180</v>
      </c>
      <c r="N536" s="2">
        <f t="shared" si="26"/>
        <v>3.75</v>
      </c>
    </row>
    <row r="537" spans="1:14" x14ac:dyDescent="0.25">
      <c r="A537" s="5" t="s">
        <v>208</v>
      </c>
      <c r="B537" s="5" t="s">
        <v>182</v>
      </c>
      <c r="C537" s="5" t="s">
        <v>25</v>
      </c>
      <c r="D537" s="5" t="s">
        <v>18</v>
      </c>
      <c r="E537" s="5">
        <v>88</v>
      </c>
      <c r="F537" s="5">
        <v>40568</v>
      </c>
      <c r="G537" s="5">
        <v>15004</v>
      </c>
      <c r="H537" s="5">
        <v>9</v>
      </c>
      <c r="I537" s="5">
        <v>65</v>
      </c>
      <c r="J537" s="5">
        <v>3</v>
      </c>
      <c r="K537" s="5">
        <v>4.5</v>
      </c>
      <c r="L537" s="6">
        <f t="shared" si="24"/>
        <v>0.36984815618221256</v>
      </c>
      <c r="M537" s="7">
        <f t="shared" si="25"/>
        <v>461</v>
      </c>
      <c r="N537" s="5">
        <f t="shared" si="26"/>
        <v>9.7777777777777786</v>
      </c>
    </row>
    <row r="538" spans="1:14" x14ac:dyDescent="0.25">
      <c r="A538" s="2" t="s">
        <v>208</v>
      </c>
      <c r="B538" s="2" t="s">
        <v>182</v>
      </c>
      <c r="C538" s="2" t="s">
        <v>25</v>
      </c>
      <c r="D538" s="2" t="s">
        <v>19</v>
      </c>
      <c r="E538" s="2">
        <v>22</v>
      </c>
      <c r="F538" s="2">
        <v>4488</v>
      </c>
      <c r="G538" s="2">
        <v>1527</v>
      </c>
      <c r="H538" s="2">
        <v>5</v>
      </c>
      <c r="I538" s="2">
        <v>42</v>
      </c>
      <c r="J538" s="2">
        <v>0</v>
      </c>
      <c r="K538" s="2">
        <v>4.4000000000000004</v>
      </c>
      <c r="L538" s="3">
        <f t="shared" si="24"/>
        <v>0.34024064171122997</v>
      </c>
      <c r="M538" s="4">
        <f t="shared" si="25"/>
        <v>204</v>
      </c>
      <c r="N538" s="2">
        <f t="shared" si="26"/>
        <v>4.4000000000000004</v>
      </c>
    </row>
    <row r="539" spans="1:14" x14ac:dyDescent="0.25">
      <c r="A539" s="5" t="s">
        <v>209</v>
      </c>
      <c r="B539" s="5" t="s">
        <v>182</v>
      </c>
      <c r="C539" s="5" t="s">
        <v>27</v>
      </c>
      <c r="D539" s="5" t="s">
        <v>17</v>
      </c>
      <c r="E539" s="5">
        <v>27</v>
      </c>
      <c r="F539" s="5">
        <v>6993</v>
      </c>
      <c r="G539" s="5">
        <v>2881</v>
      </c>
      <c r="H539" s="5">
        <v>4</v>
      </c>
      <c r="I539" s="5">
        <v>35</v>
      </c>
      <c r="J539" s="5">
        <v>2</v>
      </c>
      <c r="K539" s="5">
        <v>4.3</v>
      </c>
      <c r="L539" s="6">
        <f t="shared" si="24"/>
        <v>0.41198341198341198</v>
      </c>
      <c r="M539" s="7">
        <f t="shared" si="25"/>
        <v>259</v>
      </c>
      <c r="N539" s="5">
        <f t="shared" si="26"/>
        <v>6.75</v>
      </c>
    </row>
    <row r="540" spans="1:14" x14ac:dyDescent="0.25">
      <c r="A540" s="2" t="s">
        <v>209</v>
      </c>
      <c r="B540" s="2" t="s">
        <v>182</v>
      </c>
      <c r="C540" s="2" t="s">
        <v>27</v>
      </c>
      <c r="D540" s="2" t="s">
        <v>18</v>
      </c>
      <c r="E540" s="2">
        <v>82</v>
      </c>
      <c r="F540" s="2">
        <v>23698</v>
      </c>
      <c r="G540" s="2">
        <v>6749</v>
      </c>
      <c r="H540" s="2">
        <v>9</v>
      </c>
      <c r="I540" s="2">
        <v>72</v>
      </c>
      <c r="J540" s="2">
        <v>2</v>
      </c>
      <c r="K540" s="2">
        <v>4.0999999999999996</v>
      </c>
      <c r="L540" s="3">
        <f t="shared" si="24"/>
        <v>0.28479196556671449</v>
      </c>
      <c r="M540" s="4">
        <f t="shared" si="25"/>
        <v>289</v>
      </c>
      <c r="N540" s="2">
        <f t="shared" si="26"/>
        <v>9.1111111111111107</v>
      </c>
    </row>
    <row r="541" spans="1:14" x14ac:dyDescent="0.25">
      <c r="A541" s="5" t="s">
        <v>209</v>
      </c>
      <c r="B541" s="5" t="s">
        <v>182</v>
      </c>
      <c r="C541" s="5" t="s">
        <v>27</v>
      </c>
      <c r="D541" s="5" t="s">
        <v>19</v>
      </c>
      <c r="E541" s="5">
        <v>32</v>
      </c>
      <c r="F541" s="5">
        <v>10496</v>
      </c>
      <c r="G541" s="5">
        <v>3561</v>
      </c>
      <c r="H541" s="5">
        <v>6</v>
      </c>
      <c r="I541" s="5">
        <v>40</v>
      </c>
      <c r="J541" s="5">
        <v>1</v>
      </c>
      <c r="K541" s="5">
        <v>3.8</v>
      </c>
      <c r="L541" s="6">
        <f t="shared" si="24"/>
        <v>0.33927210365853661</v>
      </c>
      <c r="M541" s="7">
        <f t="shared" si="25"/>
        <v>328</v>
      </c>
      <c r="N541" s="5">
        <f t="shared" si="26"/>
        <v>5.333333333333333</v>
      </c>
    </row>
    <row r="542" spans="1:14" x14ac:dyDescent="0.25">
      <c r="A542" s="2" t="s">
        <v>210</v>
      </c>
      <c r="B542" s="2" t="s">
        <v>182</v>
      </c>
      <c r="C542" s="2" t="s">
        <v>29</v>
      </c>
      <c r="D542" s="2" t="s">
        <v>17</v>
      </c>
      <c r="E542" s="2">
        <v>60</v>
      </c>
      <c r="F542" s="2">
        <v>16140</v>
      </c>
      <c r="G542" s="2">
        <v>5846</v>
      </c>
      <c r="H542" s="2">
        <v>4</v>
      </c>
      <c r="I542" s="2">
        <v>35</v>
      </c>
      <c r="J542" s="2">
        <v>1</v>
      </c>
      <c r="K542" s="2">
        <v>4.0999999999999996</v>
      </c>
      <c r="L542" s="3">
        <f t="shared" si="24"/>
        <v>0.36220570012391573</v>
      </c>
      <c r="M542" s="4">
        <f t="shared" si="25"/>
        <v>269</v>
      </c>
      <c r="N542" s="2">
        <f t="shared" si="26"/>
        <v>15</v>
      </c>
    </row>
    <row r="543" spans="1:14" x14ac:dyDescent="0.25">
      <c r="A543" s="5" t="s">
        <v>210</v>
      </c>
      <c r="B543" s="5" t="s">
        <v>182</v>
      </c>
      <c r="C543" s="5" t="s">
        <v>29</v>
      </c>
      <c r="D543" s="5" t="s">
        <v>18</v>
      </c>
      <c r="E543" s="5">
        <v>107</v>
      </c>
      <c r="F543" s="5">
        <v>39697</v>
      </c>
      <c r="G543" s="5">
        <v>12801</v>
      </c>
      <c r="H543" s="5">
        <v>7</v>
      </c>
      <c r="I543" s="5">
        <v>61</v>
      </c>
      <c r="J543" s="5">
        <v>2</v>
      </c>
      <c r="K543" s="5">
        <v>4.2</v>
      </c>
      <c r="L543" s="6">
        <f t="shared" si="24"/>
        <v>0.32246769277275361</v>
      </c>
      <c r="M543" s="7">
        <f t="shared" si="25"/>
        <v>371</v>
      </c>
      <c r="N543" s="5">
        <f t="shared" si="26"/>
        <v>15.285714285714286</v>
      </c>
    </row>
    <row r="544" spans="1:14" x14ac:dyDescent="0.25">
      <c r="A544" s="2" t="s">
        <v>210</v>
      </c>
      <c r="B544" s="2" t="s">
        <v>182</v>
      </c>
      <c r="C544" s="2" t="s">
        <v>29</v>
      </c>
      <c r="D544" s="2" t="s">
        <v>19</v>
      </c>
      <c r="E544" s="2">
        <v>63</v>
      </c>
      <c r="F544" s="2">
        <v>18648</v>
      </c>
      <c r="G544" s="2">
        <v>5228</v>
      </c>
      <c r="H544" s="2">
        <v>4</v>
      </c>
      <c r="I544" s="2">
        <v>61</v>
      </c>
      <c r="J544" s="2">
        <v>1</v>
      </c>
      <c r="K544" s="2">
        <v>4</v>
      </c>
      <c r="L544" s="3">
        <f t="shared" si="24"/>
        <v>0.28035178035178038</v>
      </c>
      <c r="M544" s="4">
        <f t="shared" si="25"/>
        <v>296</v>
      </c>
      <c r="N544" s="2">
        <f t="shared" si="26"/>
        <v>15.75</v>
      </c>
    </row>
    <row r="545" spans="1:14" x14ac:dyDescent="0.25">
      <c r="A545" s="5" t="s">
        <v>211</v>
      </c>
      <c r="B545" s="5" t="s">
        <v>182</v>
      </c>
      <c r="C545" s="5" t="s">
        <v>31</v>
      </c>
      <c r="D545" s="5" t="s">
        <v>17</v>
      </c>
      <c r="E545" s="5">
        <v>34</v>
      </c>
      <c r="F545" s="5">
        <v>9452</v>
      </c>
      <c r="G545" s="5">
        <v>3727</v>
      </c>
      <c r="H545" s="5">
        <v>4</v>
      </c>
      <c r="I545" s="5">
        <v>52</v>
      </c>
      <c r="J545" s="5">
        <v>0</v>
      </c>
      <c r="K545" s="5">
        <v>4.3</v>
      </c>
      <c r="L545" s="6">
        <f t="shared" si="24"/>
        <v>0.39430808294540837</v>
      </c>
      <c r="M545" s="7">
        <f t="shared" si="25"/>
        <v>278</v>
      </c>
      <c r="N545" s="5">
        <f t="shared" si="26"/>
        <v>8.5</v>
      </c>
    </row>
    <row r="546" spans="1:14" x14ac:dyDescent="0.25">
      <c r="A546" s="2" t="s">
        <v>211</v>
      </c>
      <c r="B546" s="2" t="s">
        <v>182</v>
      </c>
      <c r="C546" s="2" t="s">
        <v>31</v>
      </c>
      <c r="D546" s="2" t="s">
        <v>18</v>
      </c>
      <c r="E546" s="2">
        <v>98</v>
      </c>
      <c r="F546" s="2">
        <v>32242</v>
      </c>
      <c r="G546" s="2">
        <v>12611</v>
      </c>
      <c r="H546" s="2">
        <v>7</v>
      </c>
      <c r="I546" s="2">
        <v>71</v>
      </c>
      <c r="J546" s="2">
        <v>1</v>
      </c>
      <c r="K546" s="2">
        <v>4</v>
      </c>
      <c r="L546" s="3">
        <f t="shared" si="24"/>
        <v>0.39113578562123935</v>
      </c>
      <c r="M546" s="4">
        <f t="shared" si="25"/>
        <v>329</v>
      </c>
      <c r="N546" s="2">
        <f t="shared" si="26"/>
        <v>14</v>
      </c>
    </row>
    <row r="547" spans="1:14" x14ac:dyDescent="0.25">
      <c r="A547" s="5" t="s">
        <v>211</v>
      </c>
      <c r="B547" s="5" t="s">
        <v>182</v>
      </c>
      <c r="C547" s="5" t="s">
        <v>31</v>
      </c>
      <c r="D547" s="5" t="s">
        <v>19</v>
      </c>
      <c r="E547" s="5">
        <v>54</v>
      </c>
      <c r="F547" s="5">
        <v>17982</v>
      </c>
      <c r="G547" s="5">
        <v>6326</v>
      </c>
      <c r="H547" s="5">
        <v>5</v>
      </c>
      <c r="I547" s="5">
        <v>60</v>
      </c>
      <c r="J547" s="5">
        <v>2</v>
      </c>
      <c r="K547" s="5">
        <v>4.5999999999999996</v>
      </c>
      <c r="L547" s="6">
        <f t="shared" si="24"/>
        <v>0.35179624068512955</v>
      </c>
      <c r="M547" s="7">
        <f t="shared" si="25"/>
        <v>333</v>
      </c>
      <c r="N547" s="5">
        <f t="shared" si="26"/>
        <v>10.8</v>
      </c>
    </row>
    <row r="548" spans="1:14" x14ac:dyDescent="0.25">
      <c r="A548" s="2" t="s">
        <v>212</v>
      </c>
      <c r="B548" s="2" t="s">
        <v>213</v>
      </c>
      <c r="C548" s="2" t="s">
        <v>16</v>
      </c>
      <c r="D548" s="2" t="s">
        <v>17</v>
      </c>
      <c r="E548" s="2">
        <v>16</v>
      </c>
      <c r="F548" s="2">
        <v>4016</v>
      </c>
      <c r="G548" s="2">
        <v>1125</v>
      </c>
      <c r="H548" s="2">
        <v>4</v>
      </c>
      <c r="I548" s="2">
        <v>42</v>
      </c>
      <c r="J548" s="2">
        <v>0</v>
      </c>
      <c r="K548" s="2">
        <v>4.4000000000000004</v>
      </c>
      <c r="L548" s="3">
        <f t="shared" si="24"/>
        <v>0.28012948207171312</v>
      </c>
      <c r="M548" s="4">
        <f t="shared" si="25"/>
        <v>251</v>
      </c>
      <c r="N548" s="2">
        <f t="shared" si="26"/>
        <v>4</v>
      </c>
    </row>
    <row r="549" spans="1:14" x14ac:dyDescent="0.25">
      <c r="A549" s="5" t="s">
        <v>212</v>
      </c>
      <c r="B549" s="5" t="s">
        <v>213</v>
      </c>
      <c r="C549" s="5" t="s">
        <v>16</v>
      </c>
      <c r="D549" s="5" t="s">
        <v>18</v>
      </c>
      <c r="E549" s="5">
        <v>49</v>
      </c>
      <c r="F549" s="5">
        <v>20188</v>
      </c>
      <c r="G549" s="5">
        <v>5915</v>
      </c>
      <c r="H549" s="5">
        <v>10</v>
      </c>
      <c r="I549" s="5">
        <v>70</v>
      </c>
      <c r="J549" s="5">
        <v>4</v>
      </c>
      <c r="K549" s="5">
        <v>4.7</v>
      </c>
      <c r="L549" s="6">
        <f t="shared" si="24"/>
        <v>0.29299583911234395</v>
      </c>
      <c r="M549" s="7">
        <f t="shared" si="25"/>
        <v>412</v>
      </c>
      <c r="N549" s="5">
        <f t="shared" si="26"/>
        <v>4.9000000000000004</v>
      </c>
    </row>
    <row r="550" spans="1:14" x14ac:dyDescent="0.25">
      <c r="A550" s="2" t="s">
        <v>212</v>
      </c>
      <c r="B550" s="2" t="s">
        <v>213</v>
      </c>
      <c r="C550" s="2" t="s">
        <v>16</v>
      </c>
      <c r="D550" s="2" t="s">
        <v>19</v>
      </c>
      <c r="E550" s="2">
        <v>45</v>
      </c>
      <c r="F550" s="2">
        <v>11385</v>
      </c>
      <c r="G550" s="2">
        <v>4582</v>
      </c>
      <c r="H550" s="2">
        <v>7</v>
      </c>
      <c r="I550" s="2">
        <v>44</v>
      </c>
      <c r="J550" s="2">
        <v>3</v>
      </c>
      <c r="K550" s="2">
        <v>3.8</v>
      </c>
      <c r="L550" s="3">
        <f t="shared" si="24"/>
        <v>0.40245937637241985</v>
      </c>
      <c r="M550" s="4">
        <f t="shared" si="25"/>
        <v>253</v>
      </c>
      <c r="N550" s="2">
        <f t="shared" si="26"/>
        <v>6.4285714285714288</v>
      </c>
    </row>
    <row r="551" spans="1:14" x14ac:dyDescent="0.25">
      <c r="A551" s="5" t="s">
        <v>214</v>
      </c>
      <c r="B551" s="5" t="s">
        <v>213</v>
      </c>
      <c r="C551" s="5" t="s">
        <v>21</v>
      </c>
      <c r="D551" s="5" t="s">
        <v>17</v>
      </c>
      <c r="E551" s="5">
        <v>21</v>
      </c>
      <c r="F551" s="5">
        <v>4641</v>
      </c>
      <c r="G551" s="5">
        <v>1842</v>
      </c>
      <c r="H551" s="5">
        <v>3</v>
      </c>
      <c r="I551" s="5">
        <v>43</v>
      </c>
      <c r="J551" s="5">
        <v>2</v>
      </c>
      <c r="K551" s="5">
        <v>3.9</v>
      </c>
      <c r="L551" s="6">
        <f t="shared" si="24"/>
        <v>0.39689722042663217</v>
      </c>
      <c r="M551" s="7">
        <f t="shared" si="25"/>
        <v>221</v>
      </c>
      <c r="N551" s="5">
        <f t="shared" si="26"/>
        <v>7</v>
      </c>
    </row>
    <row r="552" spans="1:14" x14ac:dyDescent="0.25">
      <c r="A552" s="2" t="s">
        <v>214</v>
      </c>
      <c r="B552" s="2" t="s">
        <v>213</v>
      </c>
      <c r="C552" s="2" t="s">
        <v>21</v>
      </c>
      <c r="D552" s="2" t="s">
        <v>18</v>
      </c>
      <c r="E552" s="2">
        <v>68</v>
      </c>
      <c r="F552" s="2">
        <v>30600</v>
      </c>
      <c r="G552" s="2">
        <v>9835</v>
      </c>
      <c r="H552" s="2">
        <v>10</v>
      </c>
      <c r="I552" s="2">
        <v>71</v>
      </c>
      <c r="J552" s="2">
        <v>2</v>
      </c>
      <c r="K552" s="2">
        <v>4.8</v>
      </c>
      <c r="L552" s="3">
        <f t="shared" si="24"/>
        <v>0.32140522875816996</v>
      </c>
      <c r="M552" s="4">
        <f t="shared" si="25"/>
        <v>450</v>
      </c>
      <c r="N552" s="2">
        <f t="shared" si="26"/>
        <v>6.8</v>
      </c>
    </row>
    <row r="553" spans="1:14" x14ac:dyDescent="0.25">
      <c r="A553" s="5" t="s">
        <v>214</v>
      </c>
      <c r="B553" s="5" t="s">
        <v>213</v>
      </c>
      <c r="C553" s="5" t="s">
        <v>21</v>
      </c>
      <c r="D553" s="5" t="s">
        <v>19</v>
      </c>
      <c r="E553" s="5">
        <v>34</v>
      </c>
      <c r="F553" s="5">
        <v>9792</v>
      </c>
      <c r="G553" s="5">
        <v>2890</v>
      </c>
      <c r="H553" s="5">
        <v>4</v>
      </c>
      <c r="I553" s="5">
        <v>41</v>
      </c>
      <c r="J553" s="5">
        <v>0</v>
      </c>
      <c r="K553" s="5">
        <v>3.6</v>
      </c>
      <c r="L553" s="6">
        <f t="shared" si="24"/>
        <v>0.2951388888888889</v>
      </c>
      <c r="M553" s="7">
        <f t="shared" si="25"/>
        <v>288</v>
      </c>
      <c r="N553" s="5">
        <f t="shared" si="26"/>
        <v>8.5</v>
      </c>
    </row>
    <row r="554" spans="1:14" x14ac:dyDescent="0.25">
      <c r="A554" s="2" t="s">
        <v>215</v>
      </c>
      <c r="B554" s="2" t="s">
        <v>213</v>
      </c>
      <c r="C554" s="2" t="s">
        <v>23</v>
      </c>
      <c r="D554" s="2" t="s">
        <v>17</v>
      </c>
      <c r="E554" s="2">
        <v>17</v>
      </c>
      <c r="F554" s="2">
        <v>3111</v>
      </c>
      <c r="G554" s="2">
        <v>1172</v>
      </c>
      <c r="H554" s="2">
        <v>4</v>
      </c>
      <c r="I554" s="2">
        <v>39</v>
      </c>
      <c r="J554" s="2">
        <v>2</v>
      </c>
      <c r="K554" s="2">
        <v>4.4000000000000004</v>
      </c>
      <c r="L554" s="3">
        <f t="shared" si="24"/>
        <v>0.37672774027643846</v>
      </c>
      <c r="M554" s="4">
        <f t="shared" si="25"/>
        <v>183</v>
      </c>
      <c r="N554" s="2">
        <f t="shared" si="26"/>
        <v>4.25</v>
      </c>
    </row>
    <row r="555" spans="1:14" x14ac:dyDescent="0.25">
      <c r="A555" s="5" t="s">
        <v>215</v>
      </c>
      <c r="B555" s="5" t="s">
        <v>213</v>
      </c>
      <c r="C555" s="5" t="s">
        <v>23</v>
      </c>
      <c r="D555" s="5" t="s">
        <v>18</v>
      </c>
      <c r="E555" s="5">
        <v>51</v>
      </c>
      <c r="F555" s="5">
        <v>18513</v>
      </c>
      <c r="G555" s="5">
        <v>6200</v>
      </c>
      <c r="H555" s="5">
        <v>8</v>
      </c>
      <c r="I555" s="5">
        <v>74</v>
      </c>
      <c r="J555" s="5">
        <v>1</v>
      </c>
      <c r="K555" s="5">
        <v>4.5999999999999996</v>
      </c>
      <c r="L555" s="6">
        <f t="shared" si="24"/>
        <v>0.33489980014044185</v>
      </c>
      <c r="M555" s="7">
        <f t="shared" si="25"/>
        <v>363</v>
      </c>
      <c r="N555" s="5">
        <f t="shared" si="26"/>
        <v>6.375</v>
      </c>
    </row>
    <row r="556" spans="1:14" x14ac:dyDescent="0.25">
      <c r="A556" s="2" t="s">
        <v>215</v>
      </c>
      <c r="B556" s="2" t="s">
        <v>213</v>
      </c>
      <c r="C556" s="2" t="s">
        <v>23</v>
      </c>
      <c r="D556" s="2" t="s">
        <v>19</v>
      </c>
      <c r="E556" s="2">
        <v>51</v>
      </c>
      <c r="F556" s="2">
        <v>15147</v>
      </c>
      <c r="G556" s="2">
        <v>5604</v>
      </c>
      <c r="H556" s="2">
        <v>4</v>
      </c>
      <c r="I556" s="2">
        <v>46</v>
      </c>
      <c r="J556" s="2">
        <v>1</v>
      </c>
      <c r="K556" s="2">
        <v>3.7</v>
      </c>
      <c r="L556" s="3">
        <f t="shared" si="24"/>
        <v>0.3699742523271935</v>
      </c>
      <c r="M556" s="4">
        <f t="shared" si="25"/>
        <v>297</v>
      </c>
      <c r="N556" s="2">
        <f t="shared" si="26"/>
        <v>12.75</v>
      </c>
    </row>
    <row r="557" spans="1:14" x14ac:dyDescent="0.25">
      <c r="A557" s="5" t="s">
        <v>216</v>
      </c>
      <c r="B557" s="5" t="s">
        <v>213</v>
      </c>
      <c r="C557" s="5" t="s">
        <v>25</v>
      </c>
      <c r="D557" s="5" t="s">
        <v>17</v>
      </c>
      <c r="E557" s="5">
        <v>15</v>
      </c>
      <c r="F557" s="5">
        <v>3765</v>
      </c>
      <c r="G557" s="5">
        <v>1123</v>
      </c>
      <c r="H557" s="5">
        <v>4</v>
      </c>
      <c r="I557" s="5">
        <v>48</v>
      </c>
      <c r="J557" s="5">
        <v>2</v>
      </c>
      <c r="K557" s="5">
        <v>3.9</v>
      </c>
      <c r="L557" s="6">
        <f t="shared" si="24"/>
        <v>0.29827357237715801</v>
      </c>
      <c r="M557" s="7">
        <f t="shared" si="25"/>
        <v>251</v>
      </c>
      <c r="N557" s="5">
        <f t="shared" si="26"/>
        <v>3.75</v>
      </c>
    </row>
    <row r="558" spans="1:14" x14ac:dyDescent="0.25">
      <c r="A558" s="2" t="s">
        <v>216</v>
      </c>
      <c r="B558" s="2" t="s">
        <v>213</v>
      </c>
      <c r="C558" s="2" t="s">
        <v>25</v>
      </c>
      <c r="D558" s="2" t="s">
        <v>18</v>
      </c>
      <c r="E558" s="2">
        <v>67</v>
      </c>
      <c r="F558" s="2">
        <v>25393</v>
      </c>
      <c r="G558" s="2">
        <v>9804</v>
      </c>
      <c r="H558" s="2">
        <v>7</v>
      </c>
      <c r="I558" s="2">
        <v>53</v>
      </c>
      <c r="J558" s="2">
        <v>3</v>
      </c>
      <c r="K558" s="2">
        <v>3.6</v>
      </c>
      <c r="L558" s="3">
        <f t="shared" si="24"/>
        <v>0.38609065490489503</v>
      </c>
      <c r="M558" s="4">
        <f t="shared" si="25"/>
        <v>379</v>
      </c>
      <c r="N558" s="2">
        <f t="shared" si="26"/>
        <v>9.5714285714285712</v>
      </c>
    </row>
    <row r="559" spans="1:14" x14ac:dyDescent="0.25">
      <c r="A559" s="5" t="s">
        <v>216</v>
      </c>
      <c r="B559" s="5" t="s">
        <v>213</v>
      </c>
      <c r="C559" s="5" t="s">
        <v>25</v>
      </c>
      <c r="D559" s="5" t="s">
        <v>19</v>
      </c>
      <c r="E559" s="5">
        <v>47</v>
      </c>
      <c r="F559" s="5">
        <v>12361</v>
      </c>
      <c r="G559" s="5">
        <v>4326</v>
      </c>
      <c r="H559" s="5">
        <v>6</v>
      </c>
      <c r="I559" s="5">
        <v>42</v>
      </c>
      <c r="J559" s="5">
        <v>2</v>
      </c>
      <c r="K559" s="5">
        <v>4.4000000000000004</v>
      </c>
      <c r="L559" s="6">
        <f t="shared" si="24"/>
        <v>0.34997168513874283</v>
      </c>
      <c r="M559" s="7">
        <f t="shared" si="25"/>
        <v>263</v>
      </c>
      <c r="N559" s="5">
        <f t="shared" si="26"/>
        <v>7.833333333333333</v>
      </c>
    </row>
    <row r="560" spans="1:14" x14ac:dyDescent="0.25">
      <c r="A560" s="2" t="s">
        <v>217</v>
      </c>
      <c r="B560" s="2" t="s">
        <v>213</v>
      </c>
      <c r="C560" s="2" t="s">
        <v>27</v>
      </c>
      <c r="D560" s="2" t="s">
        <v>17</v>
      </c>
      <c r="E560" s="2">
        <v>58</v>
      </c>
      <c r="F560" s="2">
        <v>14674</v>
      </c>
      <c r="G560" s="2">
        <v>5232</v>
      </c>
      <c r="H560" s="2">
        <v>5</v>
      </c>
      <c r="I560" s="2">
        <v>44</v>
      </c>
      <c r="J560" s="2">
        <v>0</v>
      </c>
      <c r="K560" s="2">
        <v>4</v>
      </c>
      <c r="L560" s="3">
        <f t="shared" si="24"/>
        <v>0.35654899822815866</v>
      </c>
      <c r="M560" s="4">
        <f t="shared" si="25"/>
        <v>253</v>
      </c>
      <c r="N560" s="2">
        <f t="shared" si="26"/>
        <v>11.6</v>
      </c>
    </row>
    <row r="561" spans="1:14" x14ac:dyDescent="0.25">
      <c r="A561" s="5" t="s">
        <v>217</v>
      </c>
      <c r="B561" s="5" t="s">
        <v>213</v>
      </c>
      <c r="C561" s="5" t="s">
        <v>27</v>
      </c>
      <c r="D561" s="5" t="s">
        <v>18</v>
      </c>
      <c r="E561" s="5">
        <v>143</v>
      </c>
      <c r="F561" s="5">
        <v>55770</v>
      </c>
      <c r="G561" s="5">
        <v>17321</v>
      </c>
      <c r="H561" s="5">
        <v>6</v>
      </c>
      <c r="I561" s="5">
        <v>70</v>
      </c>
      <c r="J561" s="5">
        <v>4</v>
      </c>
      <c r="K561" s="5">
        <v>4.5</v>
      </c>
      <c r="L561" s="6">
        <f t="shared" si="24"/>
        <v>0.31057916442531824</v>
      </c>
      <c r="M561" s="7">
        <f t="shared" si="25"/>
        <v>390</v>
      </c>
      <c r="N561" s="5">
        <f t="shared" si="26"/>
        <v>23.833333333333332</v>
      </c>
    </row>
    <row r="562" spans="1:14" x14ac:dyDescent="0.25">
      <c r="A562" s="2" t="s">
        <v>217</v>
      </c>
      <c r="B562" s="2" t="s">
        <v>213</v>
      </c>
      <c r="C562" s="2" t="s">
        <v>27</v>
      </c>
      <c r="D562" s="2" t="s">
        <v>19</v>
      </c>
      <c r="E562" s="2">
        <v>46</v>
      </c>
      <c r="F562" s="2">
        <v>11224</v>
      </c>
      <c r="G562" s="2">
        <v>3988</v>
      </c>
      <c r="H562" s="2">
        <v>7</v>
      </c>
      <c r="I562" s="2">
        <v>50</v>
      </c>
      <c r="J562" s="2">
        <v>0</v>
      </c>
      <c r="K562" s="2">
        <v>3.9</v>
      </c>
      <c r="L562" s="3">
        <f t="shared" si="24"/>
        <v>0.35531004989308623</v>
      </c>
      <c r="M562" s="4">
        <f t="shared" si="25"/>
        <v>244</v>
      </c>
      <c r="N562" s="2">
        <f t="shared" si="26"/>
        <v>6.5714285714285712</v>
      </c>
    </row>
    <row r="563" spans="1:14" x14ac:dyDescent="0.25">
      <c r="A563" s="5" t="s">
        <v>218</v>
      </c>
      <c r="B563" s="5" t="s">
        <v>213</v>
      </c>
      <c r="C563" s="5" t="s">
        <v>29</v>
      </c>
      <c r="D563" s="5" t="s">
        <v>17</v>
      </c>
      <c r="E563" s="5">
        <v>28</v>
      </c>
      <c r="F563" s="5">
        <v>6384</v>
      </c>
      <c r="G563" s="5">
        <v>2530</v>
      </c>
      <c r="H563" s="5">
        <v>5</v>
      </c>
      <c r="I563" s="5">
        <v>36</v>
      </c>
      <c r="J563" s="5">
        <v>0</v>
      </c>
      <c r="K563" s="5">
        <v>4.4000000000000004</v>
      </c>
      <c r="L563" s="6">
        <f t="shared" si="24"/>
        <v>0.39630325814536344</v>
      </c>
      <c r="M563" s="7">
        <f t="shared" si="25"/>
        <v>228</v>
      </c>
      <c r="N563" s="5">
        <f t="shared" si="26"/>
        <v>5.6</v>
      </c>
    </row>
    <row r="564" spans="1:14" x14ac:dyDescent="0.25">
      <c r="A564" s="2" t="s">
        <v>218</v>
      </c>
      <c r="B564" s="2" t="s">
        <v>213</v>
      </c>
      <c r="C564" s="2" t="s">
        <v>29</v>
      </c>
      <c r="D564" s="2" t="s">
        <v>18</v>
      </c>
      <c r="E564" s="2">
        <v>170</v>
      </c>
      <c r="F564" s="2">
        <v>59500</v>
      </c>
      <c r="G564" s="2">
        <v>23624</v>
      </c>
      <c r="H564" s="2">
        <v>7</v>
      </c>
      <c r="I564" s="2">
        <v>47</v>
      </c>
      <c r="J564" s="2">
        <v>3</v>
      </c>
      <c r="K564" s="2">
        <v>4.7</v>
      </c>
      <c r="L564" s="3">
        <f t="shared" si="24"/>
        <v>0.39704201680672269</v>
      </c>
      <c r="M564" s="4">
        <f t="shared" si="25"/>
        <v>350</v>
      </c>
      <c r="N564" s="2">
        <f t="shared" si="26"/>
        <v>24.285714285714285</v>
      </c>
    </row>
    <row r="565" spans="1:14" x14ac:dyDescent="0.25">
      <c r="A565" s="5" t="s">
        <v>218</v>
      </c>
      <c r="B565" s="5" t="s">
        <v>213</v>
      </c>
      <c r="C565" s="5" t="s">
        <v>29</v>
      </c>
      <c r="D565" s="5" t="s">
        <v>19</v>
      </c>
      <c r="E565" s="5">
        <v>47</v>
      </c>
      <c r="F565" s="5">
        <v>11750</v>
      </c>
      <c r="G565" s="5">
        <v>3327</v>
      </c>
      <c r="H565" s="5">
        <v>7</v>
      </c>
      <c r="I565" s="5">
        <v>62</v>
      </c>
      <c r="J565" s="5">
        <v>1</v>
      </c>
      <c r="K565" s="5">
        <v>4</v>
      </c>
      <c r="L565" s="6">
        <f t="shared" si="24"/>
        <v>0.28314893617021275</v>
      </c>
      <c r="M565" s="7">
        <f t="shared" si="25"/>
        <v>250</v>
      </c>
      <c r="N565" s="5">
        <f t="shared" si="26"/>
        <v>6.7142857142857144</v>
      </c>
    </row>
    <row r="566" spans="1:14" x14ac:dyDescent="0.25">
      <c r="A566" s="2" t="s">
        <v>219</v>
      </c>
      <c r="B566" s="2" t="s">
        <v>213</v>
      </c>
      <c r="C566" s="2" t="s">
        <v>31</v>
      </c>
      <c r="D566" s="2" t="s">
        <v>17</v>
      </c>
      <c r="E566" s="2">
        <v>46</v>
      </c>
      <c r="F566" s="2">
        <v>8326</v>
      </c>
      <c r="G566" s="2">
        <v>2844</v>
      </c>
      <c r="H566" s="2">
        <v>4</v>
      </c>
      <c r="I566" s="2">
        <v>48</v>
      </c>
      <c r="J566" s="2">
        <v>0</v>
      </c>
      <c r="K566" s="2">
        <v>4.4000000000000004</v>
      </c>
      <c r="L566" s="3">
        <f t="shared" si="24"/>
        <v>0.34158059092000959</v>
      </c>
      <c r="M566" s="4">
        <f t="shared" si="25"/>
        <v>181</v>
      </c>
      <c r="N566" s="2">
        <f t="shared" si="26"/>
        <v>11.5</v>
      </c>
    </row>
    <row r="567" spans="1:14" x14ac:dyDescent="0.25">
      <c r="A567" s="5" t="s">
        <v>219</v>
      </c>
      <c r="B567" s="5" t="s">
        <v>213</v>
      </c>
      <c r="C567" s="5" t="s">
        <v>31</v>
      </c>
      <c r="D567" s="5" t="s">
        <v>18</v>
      </c>
      <c r="E567" s="5">
        <v>97</v>
      </c>
      <c r="F567" s="5">
        <v>38897</v>
      </c>
      <c r="G567" s="5">
        <v>11642</v>
      </c>
      <c r="H567" s="5">
        <v>10</v>
      </c>
      <c r="I567" s="5">
        <v>73</v>
      </c>
      <c r="J567" s="5">
        <v>1</v>
      </c>
      <c r="K567" s="5">
        <v>4.4000000000000004</v>
      </c>
      <c r="L567" s="6">
        <f t="shared" si="24"/>
        <v>0.29930328817132429</v>
      </c>
      <c r="M567" s="7">
        <f t="shared" si="25"/>
        <v>401</v>
      </c>
      <c r="N567" s="5">
        <f t="shared" si="26"/>
        <v>9.6999999999999993</v>
      </c>
    </row>
    <row r="568" spans="1:14" x14ac:dyDescent="0.25">
      <c r="A568" s="2" t="s">
        <v>219</v>
      </c>
      <c r="B568" s="2" t="s">
        <v>213</v>
      </c>
      <c r="C568" s="2" t="s">
        <v>31</v>
      </c>
      <c r="D568" s="2" t="s">
        <v>19</v>
      </c>
      <c r="E568" s="2">
        <v>76</v>
      </c>
      <c r="F568" s="2">
        <v>20824</v>
      </c>
      <c r="G568" s="2">
        <v>8169</v>
      </c>
      <c r="H568" s="2">
        <v>7</v>
      </c>
      <c r="I568" s="2">
        <v>61</v>
      </c>
      <c r="J568" s="2">
        <v>3</v>
      </c>
      <c r="K568" s="2">
        <v>4.4000000000000004</v>
      </c>
      <c r="L568" s="3">
        <f t="shared" si="24"/>
        <v>0.39228774490971957</v>
      </c>
      <c r="M568" s="4">
        <f t="shared" si="25"/>
        <v>274</v>
      </c>
      <c r="N568" s="2">
        <f t="shared" si="26"/>
        <v>10.857142857142858</v>
      </c>
    </row>
    <row r="569" spans="1:14" x14ac:dyDescent="0.25">
      <c r="A569" s="5" t="s">
        <v>220</v>
      </c>
      <c r="B569" s="5" t="s">
        <v>213</v>
      </c>
      <c r="C569" s="5" t="s">
        <v>16</v>
      </c>
      <c r="D569" s="5" t="s">
        <v>17</v>
      </c>
      <c r="E569" s="5">
        <v>20</v>
      </c>
      <c r="F569" s="5">
        <v>3660</v>
      </c>
      <c r="G569" s="5">
        <v>1256</v>
      </c>
      <c r="H569" s="5">
        <v>3</v>
      </c>
      <c r="I569" s="5">
        <v>49</v>
      </c>
      <c r="J569" s="5">
        <v>0</v>
      </c>
      <c r="K569" s="5">
        <v>3.9</v>
      </c>
      <c r="L569" s="6">
        <f t="shared" si="24"/>
        <v>0.34316939890710385</v>
      </c>
      <c r="M569" s="7">
        <f t="shared" si="25"/>
        <v>183</v>
      </c>
      <c r="N569" s="5">
        <f t="shared" si="26"/>
        <v>6.666666666666667</v>
      </c>
    </row>
    <row r="570" spans="1:14" x14ac:dyDescent="0.25">
      <c r="A570" s="2" t="s">
        <v>220</v>
      </c>
      <c r="B570" s="2" t="s">
        <v>213</v>
      </c>
      <c r="C570" s="2" t="s">
        <v>16</v>
      </c>
      <c r="D570" s="2" t="s">
        <v>18</v>
      </c>
      <c r="E570" s="2">
        <v>67</v>
      </c>
      <c r="F570" s="2">
        <v>20569</v>
      </c>
      <c r="G570" s="2">
        <v>8056</v>
      </c>
      <c r="H570" s="2">
        <v>7</v>
      </c>
      <c r="I570" s="2">
        <v>68</v>
      </c>
      <c r="J570" s="2">
        <v>4</v>
      </c>
      <c r="K570" s="2">
        <v>4.5999999999999996</v>
      </c>
      <c r="L570" s="3">
        <f t="shared" si="24"/>
        <v>0.39165734843696826</v>
      </c>
      <c r="M570" s="4">
        <f t="shared" si="25"/>
        <v>307</v>
      </c>
      <c r="N570" s="2">
        <f t="shared" si="26"/>
        <v>9.5714285714285712</v>
      </c>
    </row>
    <row r="571" spans="1:14" x14ac:dyDescent="0.25">
      <c r="A571" s="5" t="s">
        <v>220</v>
      </c>
      <c r="B571" s="5" t="s">
        <v>213</v>
      </c>
      <c r="C571" s="5" t="s">
        <v>16</v>
      </c>
      <c r="D571" s="5" t="s">
        <v>19</v>
      </c>
      <c r="E571" s="5">
        <v>29</v>
      </c>
      <c r="F571" s="5">
        <v>10063</v>
      </c>
      <c r="G571" s="5">
        <v>3140</v>
      </c>
      <c r="H571" s="5">
        <v>7</v>
      </c>
      <c r="I571" s="5">
        <v>60</v>
      </c>
      <c r="J571" s="5">
        <v>0</v>
      </c>
      <c r="K571" s="5">
        <v>4.4000000000000004</v>
      </c>
      <c r="L571" s="6">
        <f t="shared" si="24"/>
        <v>0.31203418463678823</v>
      </c>
      <c r="M571" s="7">
        <f t="shared" si="25"/>
        <v>347</v>
      </c>
      <c r="N571" s="5">
        <f t="shared" si="26"/>
        <v>4.1428571428571432</v>
      </c>
    </row>
    <row r="572" spans="1:14" x14ac:dyDescent="0.25">
      <c r="A572" s="2" t="s">
        <v>221</v>
      </c>
      <c r="B572" s="2" t="s">
        <v>213</v>
      </c>
      <c r="C572" s="2" t="s">
        <v>21</v>
      </c>
      <c r="D572" s="2" t="s">
        <v>17</v>
      </c>
      <c r="E572" s="2">
        <v>22</v>
      </c>
      <c r="F572" s="2">
        <v>5918</v>
      </c>
      <c r="G572" s="2">
        <v>2085</v>
      </c>
      <c r="H572" s="2">
        <v>3</v>
      </c>
      <c r="I572" s="2">
        <v>55</v>
      </c>
      <c r="J572" s="2">
        <v>1</v>
      </c>
      <c r="K572" s="2">
        <v>3.9</v>
      </c>
      <c r="L572" s="3">
        <f t="shared" si="24"/>
        <v>0.35231497127407907</v>
      </c>
      <c r="M572" s="4">
        <f t="shared" si="25"/>
        <v>269</v>
      </c>
      <c r="N572" s="2">
        <f t="shared" si="26"/>
        <v>7.333333333333333</v>
      </c>
    </row>
    <row r="573" spans="1:14" x14ac:dyDescent="0.25">
      <c r="A573" s="5" t="s">
        <v>221</v>
      </c>
      <c r="B573" s="5" t="s">
        <v>213</v>
      </c>
      <c r="C573" s="5" t="s">
        <v>21</v>
      </c>
      <c r="D573" s="5" t="s">
        <v>18</v>
      </c>
      <c r="E573" s="5">
        <v>82</v>
      </c>
      <c r="F573" s="5">
        <v>32718</v>
      </c>
      <c r="G573" s="5">
        <v>10255</v>
      </c>
      <c r="H573" s="5">
        <v>8</v>
      </c>
      <c r="I573" s="5">
        <v>73</v>
      </c>
      <c r="J573" s="5">
        <v>3</v>
      </c>
      <c r="K573" s="5">
        <v>3.8</v>
      </c>
      <c r="L573" s="6">
        <f t="shared" si="24"/>
        <v>0.31343602909713308</v>
      </c>
      <c r="M573" s="7">
        <f t="shared" si="25"/>
        <v>399</v>
      </c>
      <c r="N573" s="5">
        <f t="shared" si="26"/>
        <v>10.25</v>
      </c>
    </row>
    <row r="574" spans="1:14" x14ac:dyDescent="0.25">
      <c r="A574" s="2" t="s">
        <v>221</v>
      </c>
      <c r="B574" s="2" t="s">
        <v>213</v>
      </c>
      <c r="C574" s="2" t="s">
        <v>21</v>
      </c>
      <c r="D574" s="2" t="s">
        <v>19</v>
      </c>
      <c r="E574" s="2">
        <v>31</v>
      </c>
      <c r="F574" s="2">
        <v>10137</v>
      </c>
      <c r="G574" s="2">
        <v>2925</v>
      </c>
      <c r="H574" s="2">
        <v>5</v>
      </c>
      <c r="I574" s="2">
        <v>51</v>
      </c>
      <c r="J574" s="2">
        <v>1</v>
      </c>
      <c r="K574" s="2">
        <v>3.7</v>
      </c>
      <c r="L574" s="3">
        <f t="shared" si="24"/>
        <v>0.28854690736904409</v>
      </c>
      <c r="M574" s="4">
        <f t="shared" si="25"/>
        <v>327</v>
      </c>
      <c r="N574" s="2">
        <f t="shared" si="26"/>
        <v>6.2</v>
      </c>
    </row>
    <row r="575" spans="1:14" x14ac:dyDescent="0.25">
      <c r="A575" s="5" t="s">
        <v>222</v>
      </c>
      <c r="B575" s="5" t="s">
        <v>213</v>
      </c>
      <c r="C575" s="5" t="s">
        <v>23</v>
      </c>
      <c r="D575" s="5" t="s">
        <v>17</v>
      </c>
      <c r="E575" s="5">
        <v>40</v>
      </c>
      <c r="F575" s="5">
        <v>9520</v>
      </c>
      <c r="G575" s="5">
        <v>3958</v>
      </c>
      <c r="H575" s="5">
        <v>3</v>
      </c>
      <c r="I575" s="5">
        <v>49</v>
      </c>
      <c r="J575" s="5">
        <v>2</v>
      </c>
      <c r="K575" s="5">
        <v>4.5</v>
      </c>
      <c r="L575" s="6">
        <f t="shared" si="24"/>
        <v>0.41575630252100843</v>
      </c>
      <c r="M575" s="7">
        <f t="shared" si="25"/>
        <v>238</v>
      </c>
      <c r="N575" s="5">
        <f t="shared" si="26"/>
        <v>13.333333333333334</v>
      </c>
    </row>
    <row r="576" spans="1:14" x14ac:dyDescent="0.25">
      <c r="A576" s="2" t="s">
        <v>222</v>
      </c>
      <c r="B576" s="2" t="s">
        <v>213</v>
      </c>
      <c r="C576" s="2" t="s">
        <v>23</v>
      </c>
      <c r="D576" s="2" t="s">
        <v>18</v>
      </c>
      <c r="E576" s="2">
        <v>100</v>
      </c>
      <c r="F576" s="2">
        <v>43500</v>
      </c>
      <c r="G576" s="2">
        <v>13117</v>
      </c>
      <c r="H576" s="2">
        <v>9</v>
      </c>
      <c r="I576" s="2">
        <v>56</v>
      </c>
      <c r="J576" s="2">
        <v>3</v>
      </c>
      <c r="K576" s="2">
        <v>4.0999999999999996</v>
      </c>
      <c r="L576" s="3">
        <f t="shared" si="24"/>
        <v>0.30154022988505746</v>
      </c>
      <c r="M576" s="4">
        <f t="shared" si="25"/>
        <v>435</v>
      </c>
      <c r="N576" s="2">
        <f t="shared" si="26"/>
        <v>11.111111111111111</v>
      </c>
    </row>
    <row r="577" spans="1:14" x14ac:dyDescent="0.25">
      <c r="A577" s="5" t="s">
        <v>222</v>
      </c>
      <c r="B577" s="5" t="s">
        <v>213</v>
      </c>
      <c r="C577" s="5" t="s">
        <v>23</v>
      </c>
      <c r="D577" s="5" t="s">
        <v>19</v>
      </c>
      <c r="E577" s="5">
        <v>34</v>
      </c>
      <c r="F577" s="5">
        <v>9860</v>
      </c>
      <c r="G577" s="5">
        <v>3024</v>
      </c>
      <c r="H577" s="5">
        <v>5</v>
      </c>
      <c r="I577" s="5">
        <v>47</v>
      </c>
      <c r="J577" s="5">
        <v>2</v>
      </c>
      <c r="K577" s="5">
        <v>4.0999999999999996</v>
      </c>
      <c r="L577" s="6">
        <f t="shared" si="24"/>
        <v>0.30669371196754563</v>
      </c>
      <c r="M577" s="7">
        <f t="shared" si="25"/>
        <v>290</v>
      </c>
      <c r="N577" s="5">
        <f t="shared" si="26"/>
        <v>6.8</v>
      </c>
    </row>
    <row r="578" spans="1:14" x14ac:dyDescent="0.25">
      <c r="A578" s="2" t="s">
        <v>223</v>
      </c>
      <c r="B578" s="2" t="s">
        <v>213</v>
      </c>
      <c r="C578" s="2" t="s">
        <v>25</v>
      </c>
      <c r="D578" s="2" t="s">
        <v>17</v>
      </c>
      <c r="E578" s="2">
        <v>36</v>
      </c>
      <c r="F578" s="2">
        <v>9144</v>
      </c>
      <c r="G578" s="2">
        <v>3238</v>
      </c>
      <c r="H578" s="2">
        <v>3</v>
      </c>
      <c r="I578" s="2">
        <v>41</v>
      </c>
      <c r="J578" s="2">
        <v>2</v>
      </c>
      <c r="K578" s="2">
        <v>3.9</v>
      </c>
      <c r="L578" s="3">
        <f t="shared" ref="L578:L641" si="27">G578/F578</f>
        <v>0.35411198600174976</v>
      </c>
      <c r="M578" s="4">
        <f t="shared" ref="M578:M641" si="28">F578/E578</f>
        <v>254</v>
      </c>
      <c r="N578" s="2">
        <f t="shared" ref="N578:N641" si="29">E578/H578</f>
        <v>12</v>
      </c>
    </row>
    <row r="579" spans="1:14" x14ac:dyDescent="0.25">
      <c r="A579" s="5" t="s">
        <v>223</v>
      </c>
      <c r="B579" s="5" t="s">
        <v>213</v>
      </c>
      <c r="C579" s="5" t="s">
        <v>25</v>
      </c>
      <c r="D579" s="5" t="s">
        <v>18</v>
      </c>
      <c r="E579" s="5">
        <v>52</v>
      </c>
      <c r="F579" s="5">
        <v>22412</v>
      </c>
      <c r="G579" s="5">
        <v>8077</v>
      </c>
      <c r="H579" s="5">
        <v>8</v>
      </c>
      <c r="I579" s="5">
        <v>74</v>
      </c>
      <c r="J579" s="5">
        <v>4</v>
      </c>
      <c r="K579" s="5">
        <v>4.3</v>
      </c>
      <c r="L579" s="6">
        <f t="shared" si="27"/>
        <v>0.3603872925218633</v>
      </c>
      <c r="M579" s="7">
        <f t="shared" si="28"/>
        <v>431</v>
      </c>
      <c r="N579" s="5">
        <f t="shared" si="29"/>
        <v>6.5</v>
      </c>
    </row>
    <row r="580" spans="1:14" x14ac:dyDescent="0.25">
      <c r="A580" s="2" t="s">
        <v>223</v>
      </c>
      <c r="B580" s="2" t="s">
        <v>213</v>
      </c>
      <c r="C580" s="2" t="s">
        <v>25</v>
      </c>
      <c r="D580" s="2" t="s">
        <v>19</v>
      </c>
      <c r="E580" s="2">
        <v>57</v>
      </c>
      <c r="F580" s="2">
        <v>13623</v>
      </c>
      <c r="G580" s="2">
        <v>4965</v>
      </c>
      <c r="H580" s="2">
        <v>6</v>
      </c>
      <c r="I580" s="2">
        <v>62</v>
      </c>
      <c r="J580" s="2">
        <v>2</v>
      </c>
      <c r="K580" s="2">
        <v>3.6</v>
      </c>
      <c r="L580" s="3">
        <f t="shared" si="27"/>
        <v>0.36445716802466416</v>
      </c>
      <c r="M580" s="4">
        <f t="shared" si="28"/>
        <v>239</v>
      </c>
      <c r="N580" s="2">
        <f t="shared" si="29"/>
        <v>9.5</v>
      </c>
    </row>
    <row r="581" spans="1:14" x14ac:dyDescent="0.25">
      <c r="A581" s="5" t="s">
        <v>224</v>
      </c>
      <c r="B581" s="5" t="s">
        <v>213</v>
      </c>
      <c r="C581" s="5" t="s">
        <v>27</v>
      </c>
      <c r="D581" s="5" t="s">
        <v>17</v>
      </c>
      <c r="E581" s="5">
        <v>26</v>
      </c>
      <c r="F581" s="5">
        <v>6526</v>
      </c>
      <c r="G581" s="5">
        <v>1961</v>
      </c>
      <c r="H581" s="5">
        <v>3</v>
      </c>
      <c r="I581" s="5">
        <v>42</v>
      </c>
      <c r="J581" s="5">
        <v>2</v>
      </c>
      <c r="K581" s="5">
        <v>3.8</v>
      </c>
      <c r="L581" s="6">
        <f t="shared" si="27"/>
        <v>0.30049034630707938</v>
      </c>
      <c r="M581" s="7">
        <f t="shared" si="28"/>
        <v>251</v>
      </c>
      <c r="N581" s="5">
        <f t="shared" si="29"/>
        <v>8.6666666666666661</v>
      </c>
    </row>
    <row r="582" spans="1:14" x14ac:dyDescent="0.25">
      <c r="A582" s="2" t="s">
        <v>224</v>
      </c>
      <c r="B582" s="2" t="s">
        <v>213</v>
      </c>
      <c r="C582" s="2" t="s">
        <v>27</v>
      </c>
      <c r="D582" s="2" t="s">
        <v>18</v>
      </c>
      <c r="E582" s="2">
        <v>87</v>
      </c>
      <c r="F582" s="2">
        <v>31146</v>
      </c>
      <c r="G582" s="2">
        <v>9343</v>
      </c>
      <c r="H582" s="2">
        <v>8</v>
      </c>
      <c r="I582" s="2">
        <v>48</v>
      </c>
      <c r="J582" s="2">
        <v>3</v>
      </c>
      <c r="K582" s="2">
        <v>4.2</v>
      </c>
      <c r="L582" s="3">
        <f t="shared" si="27"/>
        <v>0.29997431451871831</v>
      </c>
      <c r="M582" s="4">
        <f t="shared" si="28"/>
        <v>358</v>
      </c>
      <c r="N582" s="2">
        <f t="shared" si="29"/>
        <v>10.875</v>
      </c>
    </row>
    <row r="583" spans="1:14" x14ac:dyDescent="0.25">
      <c r="A583" s="5" t="s">
        <v>224</v>
      </c>
      <c r="B583" s="5" t="s">
        <v>213</v>
      </c>
      <c r="C583" s="5" t="s">
        <v>27</v>
      </c>
      <c r="D583" s="5" t="s">
        <v>19</v>
      </c>
      <c r="E583" s="5">
        <v>57</v>
      </c>
      <c r="F583" s="5">
        <v>16017</v>
      </c>
      <c r="G583" s="5">
        <v>5927</v>
      </c>
      <c r="H583" s="5">
        <v>6</v>
      </c>
      <c r="I583" s="5">
        <v>43</v>
      </c>
      <c r="J583" s="5">
        <v>2</v>
      </c>
      <c r="K583" s="5">
        <v>4.2</v>
      </c>
      <c r="L583" s="6">
        <f t="shared" si="27"/>
        <v>0.37004432790160452</v>
      </c>
      <c r="M583" s="7">
        <f t="shared" si="28"/>
        <v>281</v>
      </c>
      <c r="N583" s="5">
        <f t="shared" si="29"/>
        <v>9.5</v>
      </c>
    </row>
    <row r="584" spans="1:14" x14ac:dyDescent="0.25">
      <c r="A584" s="2" t="s">
        <v>225</v>
      </c>
      <c r="B584" s="2" t="s">
        <v>213</v>
      </c>
      <c r="C584" s="2" t="s">
        <v>29</v>
      </c>
      <c r="D584" s="2" t="s">
        <v>17</v>
      </c>
      <c r="E584" s="2">
        <v>60</v>
      </c>
      <c r="F584" s="2">
        <v>12600</v>
      </c>
      <c r="G584" s="2">
        <v>4120</v>
      </c>
      <c r="H584" s="2">
        <v>5</v>
      </c>
      <c r="I584" s="2">
        <v>41</v>
      </c>
      <c r="J584" s="2">
        <v>0</v>
      </c>
      <c r="K584" s="2">
        <v>4.3</v>
      </c>
      <c r="L584" s="3">
        <f t="shared" si="27"/>
        <v>0.32698412698412699</v>
      </c>
      <c r="M584" s="4">
        <f t="shared" si="28"/>
        <v>210</v>
      </c>
      <c r="N584" s="2">
        <f t="shared" si="29"/>
        <v>12</v>
      </c>
    </row>
    <row r="585" spans="1:14" x14ac:dyDescent="0.25">
      <c r="A585" s="5" t="s">
        <v>225</v>
      </c>
      <c r="B585" s="5" t="s">
        <v>213</v>
      </c>
      <c r="C585" s="5" t="s">
        <v>29</v>
      </c>
      <c r="D585" s="5" t="s">
        <v>18</v>
      </c>
      <c r="E585" s="5">
        <v>127</v>
      </c>
      <c r="F585" s="5">
        <v>49276</v>
      </c>
      <c r="G585" s="5">
        <v>16197</v>
      </c>
      <c r="H585" s="5">
        <v>9</v>
      </c>
      <c r="I585" s="5">
        <v>58</v>
      </c>
      <c r="J585" s="5">
        <v>2</v>
      </c>
      <c r="K585" s="5">
        <v>4.0999999999999996</v>
      </c>
      <c r="L585" s="6">
        <f t="shared" si="27"/>
        <v>0.32869956977027354</v>
      </c>
      <c r="M585" s="7">
        <f t="shared" si="28"/>
        <v>388</v>
      </c>
      <c r="N585" s="5">
        <f t="shared" si="29"/>
        <v>14.111111111111111</v>
      </c>
    </row>
    <row r="586" spans="1:14" x14ac:dyDescent="0.25">
      <c r="A586" s="2" t="s">
        <v>225</v>
      </c>
      <c r="B586" s="2" t="s">
        <v>213</v>
      </c>
      <c r="C586" s="2" t="s">
        <v>29</v>
      </c>
      <c r="D586" s="2" t="s">
        <v>19</v>
      </c>
      <c r="E586" s="2">
        <v>69</v>
      </c>
      <c r="F586" s="2">
        <v>23391</v>
      </c>
      <c r="G586" s="2">
        <v>7620</v>
      </c>
      <c r="H586" s="2">
        <v>7</v>
      </c>
      <c r="I586" s="2">
        <v>44</v>
      </c>
      <c r="J586" s="2">
        <v>2</v>
      </c>
      <c r="K586" s="2">
        <v>3.6</v>
      </c>
      <c r="L586" s="3">
        <f t="shared" si="27"/>
        <v>0.32576632037963321</v>
      </c>
      <c r="M586" s="4">
        <f t="shared" si="28"/>
        <v>339</v>
      </c>
      <c r="N586" s="2">
        <f t="shared" si="29"/>
        <v>9.8571428571428577</v>
      </c>
    </row>
    <row r="587" spans="1:14" x14ac:dyDescent="0.25">
      <c r="A587" s="5" t="s">
        <v>226</v>
      </c>
      <c r="B587" s="5" t="s">
        <v>213</v>
      </c>
      <c r="C587" s="5" t="s">
        <v>31</v>
      </c>
      <c r="D587" s="5" t="s">
        <v>17</v>
      </c>
      <c r="E587" s="5">
        <v>24</v>
      </c>
      <c r="F587" s="5">
        <v>4776</v>
      </c>
      <c r="G587" s="5">
        <v>1413</v>
      </c>
      <c r="H587" s="5">
        <v>5</v>
      </c>
      <c r="I587" s="5">
        <v>41</v>
      </c>
      <c r="J587" s="5">
        <v>1</v>
      </c>
      <c r="K587" s="5">
        <v>4</v>
      </c>
      <c r="L587" s="6">
        <f t="shared" si="27"/>
        <v>0.29585427135678394</v>
      </c>
      <c r="M587" s="7">
        <f t="shared" si="28"/>
        <v>199</v>
      </c>
      <c r="N587" s="5">
        <f t="shared" si="29"/>
        <v>4.8</v>
      </c>
    </row>
    <row r="588" spans="1:14" x14ac:dyDescent="0.25">
      <c r="A588" s="2" t="s">
        <v>226</v>
      </c>
      <c r="B588" s="2" t="s">
        <v>213</v>
      </c>
      <c r="C588" s="2" t="s">
        <v>31</v>
      </c>
      <c r="D588" s="2" t="s">
        <v>18</v>
      </c>
      <c r="E588" s="2">
        <v>72</v>
      </c>
      <c r="F588" s="2">
        <v>29736</v>
      </c>
      <c r="G588" s="2">
        <v>9754</v>
      </c>
      <c r="H588" s="2">
        <v>10</v>
      </c>
      <c r="I588" s="2">
        <v>66</v>
      </c>
      <c r="J588" s="2">
        <v>4</v>
      </c>
      <c r="K588" s="2">
        <v>4.8</v>
      </c>
      <c r="L588" s="3">
        <f t="shared" si="27"/>
        <v>0.32801990852838309</v>
      </c>
      <c r="M588" s="4">
        <f t="shared" si="28"/>
        <v>413</v>
      </c>
      <c r="N588" s="2">
        <f t="shared" si="29"/>
        <v>7.2</v>
      </c>
    </row>
    <row r="589" spans="1:14" x14ac:dyDescent="0.25">
      <c r="A589" s="5" t="s">
        <v>226</v>
      </c>
      <c r="B589" s="5" t="s">
        <v>213</v>
      </c>
      <c r="C589" s="5" t="s">
        <v>31</v>
      </c>
      <c r="D589" s="5" t="s">
        <v>19</v>
      </c>
      <c r="E589" s="5">
        <v>38</v>
      </c>
      <c r="F589" s="5">
        <v>8056</v>
      </c>
      <c r="G589" s="5">
        <v>3142</v>
      </c>
      <c r="H589" s="5">
        <v>5</v>
      </c>
      <c r="I589" s="5">
        <v>62</v>
      </c>
      <c r="J589" s="5">
        <v>1</v>
      </c>
      <c r="K589" s="5">
        <v>4.5</v>
      </c>
      <c r="L589" s="6">
        <f t="shared" si="27"/>
        <v>0.39001986097318769</v>
      </c>
      <c r="M589" s="7">
        <f t="shared" si="28"/>
        <v>212</v>
      </c>
      <c r="N589" s="5">
        <f t="shared" si="29"/>
        <v>7.6</v>
      </c>
    </row>
    <row r="590" spans="1:14" x14ac:dyDescent="0.25">
      <c r="A590" s="2" t="s">
        <v>227</v>
      </c>
      <c r="B590" s="2" t="s">
        <v>213</v>
      </c>
      <c r="C590" s="2" t="s">
        <v>16</v>
      </c>
      <c r="D590" s="2" t="s">
        <v>17</v>
      </c>
      <c r="E590" s="2">
        <v>16</v>
      </c>
      <c r="F590" s="2">
        <v>3744</v>
      </c>
      <c r="G590" s="2">
        <v>1074</v>
      </c>
      <c r="H590" s="2">
        <v>5</v>
      </c>
      <c r="I590" s="2">
        <v>40</v>
      </c>
      <c r="J590" s="2">
        <v>1</v>
      </c>
      <c r="K590" s="2">
        <v>4.5</v>
      </c>
      <c r="L590" s="3">
        <f t="shared" si="27"/>
        <v>0.28685897435897434</v>
      </c>
      <c r="M590" s="4">
        <f t="shared" si="28"/>
        <v>234</v>
      </c>
      <c r="N590" s="2">
        <f t="shared" si="29"/>
        <v>3.2</v>
      </c>
    </row>
    <row r="591" spans="1:14" x14ac:dyDescent="0.25">
      <c r="A591" s="5" t="s">
        <v>227</v>
      </c>
      <c r="B591" s="5" t="s">
        <v>213</v>
      </c>
      <c r="C591" s="5" t="s">
        <v>16</v>
      </c>
      <c r="D591" s="5" t="s">
        <v>18</v>
      </c>
      <c r="E591" s="5">
        <v>80</v>
      </c>
      <c r="F591" s="5">
        <v>26160</v>
      </c>
      <c r="G591" s="5">
        <v>9420</v>
      </c>
      <c r="H591" s="5">
        <v>8</v>
      </c>
      <c r="I591" s="5">
        <v>61</v>
      </c>
      <c r="J591" s="5">
        <v>4</v>
      </c>
      <c r="K591" s="5">
        <v>3.8</v>
      </c>
      <c r="L591" s="6">
        <f t="shared" si="27"/>
        <v>0.36009174311926606</v>
      </c>
      <c r="M591" s="7">
        <f t="shared" si="28"/>
        <v>327</v>
      </c>
      <c r="N591" s="5">
        <f t="shared" si="29"/>
        <v>10</v>
      </c>
    </row>
    <row r="592" spans="1:14" x14ac:dyDescent="0.25">
      <c r="A592" s="2" t="s">
        <v>227</v>
      </c>
      <c r="B592" s="2" t="s">
        <v>213</v>
      </c>
      <c r="C592" s="2" t="s">
        <v>16</v>
      </c>
      <c r="D592" s="2" t="s">
        <v>19</v>
      </c>
      <c r="E592" s="2">
        <v>32</v>
      </c>
      <c r="F592" s="2">
        <v>8096</v>
      </c>
      <c r="G592" s="2">
        <v>3382</v>
      </c>
      <c r="H592" s="2">
        <v>6</v>
      </c>
      <c r="I592" s="2">
        <v>59</v>
      </c>
      <c r="J592" s="2">
        <v>3</v>
      </c>
      <c r="K592" s="2">
        <v>4</v>
      </c>
      <c r="L592" s="3">
        <f t="shared" si="27"/>
        <v>0.41773715415019763</v>
      </c>
      <c r="M592" s="4">
        <f t="shared" si="28"/>
        <v>253</v>
      </c>
      <c r="N592" s="2">
        <f t="shared" si="29"/>
        <v>5.333333333333333</v>
      </c>
    </row>
    <row r="593" spans="1:14" x14ac:dyDescent="0.25">
      <c r="A593" s="5" t="s">
        <v>228</v>
      </c>
      <c r="B593" s="5" t="s">
        <v>213</v>
      </c>
      <c r="C593" s="5" t="s">
        <v>21</v>
      </c>
      <c r="D593" s="5" t="s">
        <v>17</v>
      </c>
      <c r="E593" s="5">
        <v>24</v>
      </c>
      <c r="F593" s="5">
        <v>5976</v>
      </c>
      <c r="G593" s="5">
        <v>1856</v>
      </c>
      <c r="H593" s="5">
        <v>4</v>
      </c>
      <c r="I593" s="5">
        <v>54</v>
      </c>
      <c r="J593" s="5">
        <v>0</v>
      </c>
      <c r="K593" s="5">
        <v>4.3</v>
      </c>
      <c r="L593" s="6">
        <f t="shared" si="27"/>
        <v>0.31057563587684067</v>
      </c>
      <c r="M593" s="7">
        <f t="shared" si="28"/>
        <v>249</v>
      </c>
      <c r="N593" s="5">
        <f t="shared" si="29"/>
        <v>6</v>
      </c>
    </row>
    <row r="594" spans="1:14" x14ac:dyDescent="0.25">
      <c r="A594" s="2" t="s">
        <v>228</v>
      </c>
      <c r="B594" s="2" t="s">
        <v>213</v>
      </c>
      <c r="C594" s="2" t="s">
        <v>21</v>
      </c>
      <c r="D594" s="2" t="s">
        <v>18</v>
      </c>
      <c r="E594" s="2">
        <v>81</v>
      </c>
      <c r="F594" s="2">
        <v>29403</v>
      </c>
      <c r="G594" s="2">
        <v>10770</v>
      </c>
      <c r="H594" s="2">
        <v>10</v>
      </c>
      <c r="I594" s="2">
        <v>51</v>
      </c>
      <c r="J594" s="2">
        <v>4</v>
      </c>
      <c r="K594" s="2">
        <v>3.7</v>
      </c>
      <c r="L594" s="3">
        <f t="shared" si="27"/>
        <v>0.36628915416794205</v>
      </c>
      <c r="M594" s="4">
        <f t="shared" si="28"/>
        <v>363</v>
      </c>
      <c r="N594" s="2">
        <f t="shared" si="29"/>
        <v>8.1</v>
      </c>
    </row>
    <row r="595" spans="1:14" x14ac:dyDescent="0.25">
      <c r="A595" s="5" t="s">
        <v>228</v>
      </c>
      <c r="B595" s="5" t="s">
        <v>213</v>
      </c>
      <c r="C595" s="5" t="s">
        <v>21</v>
      </c>
      <c r="D595" s="5" t="s">
        <v>19</v>
      </c>
      <c r="E595" s="5">
        <v>35</v>
      </c>
      <c r="F595" s="5">
        <v>8295</v>
      </c>
      <c r="G595" s="5">
        <v>3320</v>
      </c>
      <c r="H595" s="5">
        <v>4</v>
      </c>
      <c r="I595" s="5">
        <v>56</v>
      </c>
      <c r="J595" s="5">
        <v>1</v>
      </c>
      <c r="K595" s="5">
        <v>4.5999999999999996</v>
      </c>
      <c r="L595" s="6">
        <f t="shared" si="27"/>
        <v>0.40024110910186861</v>
      </c>
      <c r="M595" s="7">
        <f t="shared" si="28"/>
        <v>237</v>
      </c>
      <c r="N595" s="5">
        <f t="shared" si="29"/>
        <v>8.75</v>
      </c>
    </row>
    <row r="596" spans="1:14" x14ac:dyDescent="0.25">
      <c r="A596" s="2" t="s">
        <v>229</v>
      </c>
      <c r="B596" s="2" t="s">
        <v>213</v>
      </c>
      <c r="C596" s="2" t="s">
        <v>23</v>
      </c>
      <c r="D596" s="2" t="s">
        <v>17</v>
      </c>
      <c r="E596" s="2">
        <v>22</v>
      </c>
      <c r="F596" s="2">
        <v>4598</v>
      </c>
      <c r="G596" s="2">
        <v>1370</v>
      </c>
      <c r="H596" s="2">
        <v>5</v>
      </c>
      <c r="I596" s="2">
        <v>38</v>
      </c>
      <c r="J596" s="2">
        <v>0</v>
      </c>
      <c r="K596" s="2">
        <v>4.2</v>
      </c>
      <c r="L596" s="3">
        <f t="shared" si="27"/>
        <v>0.29795563288386256</v>
      </c>
      <c r="M596" s="4">
        <f t="shared" si="28"/>
        <v>209</v>
      </c>
      <c r="N596" s="2">
        <f t="shared" si="29"/>
        <v>4.4000000000000004</v>
      </c>
    </row>
    <row r="597" spans="1:14" x14ac:dyDescent="0.25">
      <c r="A597" s="5" t="s">
        <v>229</v>
      </c>
      <c r="B597" s="5" t="s">
        <v>213</v>
      </c>
      <c r="C597" s="5" t="s">
        <v>23</v>
      </c>
      <c r="D597" s="5" t="s">
        <v>18</v>
      </c>
      <c r="E597" s="5">
        <v>65</v>
      </c>
      <c r="F597" s="5">
        <v>25610</v>
      </c>
      <c r="G597" s="5">
        <v>8664</v>
      </c>
      <c r="H597" s="5">
        <v>6</v>
      </c>
      <c r="I597" s="5">
        <v>72</v>
      </c>
      <c r="J597" s="5">
        <v>1</v>
      </c>
      <c r="K597" s="5">
        <v>3.9</v>
      </c>
      <c r="L597" s="6">
        <f t="shared" si="27"/>
        <v>0.33830534947286217</v>
      </c>
      <c r="M597" s="7">
        <f t="shared" si="28"/>
        <v>394</v>
      </c>
      <c r="N597" s="5">
        <f t="shared" si="29"/>
        <v>10.833333333333334</v>
      </c>
    </row>
    <row r="598" spans="1:14" x14ac:dyDescent="0.25">
      <c r="A598" s="2" t="s">
        <v>229</v>
      </c>
      <c r="B598" s="2" t="s">
        <v>213</v>
      </c>
      <c r="C598" s="2" t="s">
        <v>23</v>
      </c>
      <c r="D598" s="2" t="s">
        <v>19</v>
      </c>
      <c r="E598" s="2">
        <v>47</v>
      </c>
      <c r="F598" s="2">
        <v>14946</v>
      </c>
      <c r="G598" s="2">
        <v>5327</v>
      </c>
      <c r="H598" s="2">
        <v>6</v>
      </c>
      <c r="I598" s="2">
        <v>53</v>
      </c>
      <c r="J598" s="2">
        <v>3</v>
      </c>
      <c r="K598" s="2">
        <v>4.4000000000000004</v>
      </c>
      <c r="L598" s="3">
        <f t="shared" si="27"/>
        <v>0.35641643249029842</v>
      </c>
      <c r="M598" s="4">
        <f t="shared" si="28"/>
        <v>318</v>
      </c>
      <c r="N598" s="2">
        <f t="shared" si="29"/>
        <v>7.833333333333333</v>
      </c>
    </row>
    <row r="599" spans="1:14" x14ac:dyDescent="0.25">
      <c r="A599" s="5" t="s">
        <v>230</v>
      </c>
      <c r="B599" s="5" t="s">
        <v>213</v>
      </c>
      <c r="C599" s="5" t="s">
        <v>25</v>
      </c>
      <c r="D599" s="5" t="s">
        <v>17</v>
      </c>
      <c r="E599" s="5">
        <v>32</v>
      </c>
      <c r="F599" s="5">
        <v>8416</v>
      </c>
      <c r="G599" s="5">
        <v>2804</v>
      </c>
      <c r="H599" s="5">
        <v>4</v>
      </c>
      <c r="I599" s="5">
        <v>50</v>
      </c>
      <c r="J599" s="5">
        <v>1</v>
      </c>
      <c r="K599" s="5">
        <v>4.0999999999999996</v>
      </c>
      <c r="L599" s="6">
        <f t="shared" si="27"/>
        <v>0.33317490494296575</v>
      </c>
      <c r="M599" s="7">
        <f t="shared" si="28"/>
        <v>263</v>
      </c>
      <c r="N599" s="5">
        <f t="shared" si="29"/>
        <v>8</v>
      </c>
    </row>
    <row r="600" spans="1:14" x14ac:dyDescent="0.25">
      <c r="A600" s="2" t="s">
        <v>230</v>
      </c>
      <c r="B600" s="2" t="s">
        <v>213</v>
      </c>
      <c r="C600" s="2" t="s">
        <v>25</v>
      </c>
      <c r="D600" s="2" t="s">
        <v>18</v>
      </c>
      <c r="E600" s="2">
        <v>94</v>
      </c>
      <c r="F600" s="2">
        <v>42958</v>
      </c>
      <c r="G600" s="2">
        <v>14030</v>
      </c>
      <c r="H600" s="2">
        <v>9</v>
      </c>
      <c r="I600" s="2">
        <v>65</v>
      </c>
      <c r="J600" s="2">
        <v>1</v>
      </c>
      <c r="K600" s="2">
        <v>4</v>
      </c>
      <c r="L600" s="3">
        <f t="shared" si="27"/>
        <v>0.32659807253596534</v>
      </c>
      <c r="M600" s="4">
        <f t="shared" si="28"/>
        <v>457</v>
      </c>
      <c r="N600" s="2">
        <f t="shared" si="29"/>
        <v>10.444444444444445</v>
      </c>
    </row>
    <row r="601" spans="1:14" x14ac:dyDescent="0.25">
      <c r="A601" s="5" t="s">
        <v>230</v>
      </c>
      <c r="B601" s="5" t="s">
        <v>213</v>
      </c>
      <c r="C601" s="5" t="s">
        <v>25</v>
      </c>
      <c r="D601" s="5" t="s">
        <v>19</v>
      </c>
      <c r="E601" s="5">
        <v>23</v>
      </c>
      <c r="F601" s="5">
        <v>6739</v>
      </c>
      <c r="G601" s="5">
        <v>2240</v>
      </c>
      <c r="H601" s="5">
        <v>4</v>
      </c>
      <c r="I601" s="5">
        <v>45</v>
      </c>
      <c r="J601" s="5">
        <v>0</v>
      </c>
      <c r="K601" s="5">
        <v>4.5</v>
      </c>
      <c r="L601" s="6">
        <f t="shared" si="27"/>
        <v>0.33239353019735868</v>
      </c>
      <c r="M601" s="7">
        <f t="shared" si="28"/>
        <v>293</v>
      </c>
      <c r="N601" s="5">
        <f t="shared" si="29"/>
        <v>5.75</v>
      </c>
    </row>
    <row r="602" spans="1:14" x14ac:dyDescent="0.25">
      <c r="A602" s="2" t="s">
        <v>231</v>
      </c>
      <c r="B602" s="2" t="s">
        <v>213</v>
      </c>
      <c r="C602" s="2" t="s">
        <v>27</v>
      </c>
      <c r="D602" s="2" t="s">
        <v>17</v>
      </c>
      <c r="E602" s="2">
        <v>51</v>
      </c>
      <c r="F602" s="2">
        <v>11730</v>
      </c>
      <c r="G602" s="2">
        <v>4833</v>
      </c>
      <c r="H602" s="2">
        <v>4</v>
      </c>
      <c r="I602" s="2">
        <v>36</v>
      </c>
      <c r="J602" s="2">
        <v>0</v>
      </c>
      <c r="K602" s="2">
        <v>4</v>
      </c>
      <c r="L602" s="3">
        <f t="shared" si="27"/>
        <v>0.41202046035805628</v>
      </c>
      <c r="M602" s="4">
        <f t="shared" si="28"/>
        <v>230</v>
      </c>
      <c r="N602" s="2">
        <f t="shared" si="29"/>
        <v>12.75</v>
      </c>
    </row>
    <row r="603" spans="1:14" x14ac:dyDescent="0.25">
      <c r="A603" s="5" t="s">
        <v>231</v>
      </c>
      <c r="B603" s="5" t="s">
        <v>213</v>
      </c>
      <c r="C603" s="5" t="s">
        <v>27</v>
      </c>
      <c r="D603" s="5" t="s">
        <v>18</v>
      </c>
      <c r="E603" s="5">
        <v>136</v>
      </c>
      <c r="F603" s="5">
        <v>43520</v>
      </c>
      <c r="G603" s="5">
        <v>15922</v>
      </c>
      <c r="H603" s="5">
        <v>8</v>
      </c>
      <c r="I603" s="5">
        <v>63</v>
      </c>
      <c r="J603" s="5">
        <v>0</v>
      </c>
      <c r="K603" s="5">
        <v>3.6</v>
      </c>
      <c r="L603" s="6">
        <f t="shared" si="27"/>
        <v>0.3658547794117647</v>
      </c>
      <c r="M603" s="7">
        <f t="shared" si="28"/>
        <v>320</v>
      </c>
      <c r="N603" s="5">
        <f t="shared" si="29"/>
        <v>17</v>
      </c>
    </row>
    <row r="604" spans="1:14" x14ac:dyDescent="0.25">
      <c r="A604" s="2" t="s">
        <v>231</v>
      </c>
      <c r="B604" s="2" t="s">
        <v>213</v>
      </c>
      <c r="C604" s="2" t="s">
        <v>27</v>
      </c>
      <c r="D604" s="2" t="s">
        <v>19</v>
      </c>
      <c r="E604" s="2">
        <v>61</v>
      </c>
      <c r="F604" s="2">
        <v>16531</v>
      </c>
      <c r="G604" s="2">
        <v>5508</v>
      </c>
      <c r="H604" s="2">
        <v>4</v>
      </c>
      <c r="I604" s="2">
        <v>44</v>
      </c>
      <c r="J604" s="2">
        <v>3</v>
      </c>
      <c r="K604" s="2">
        <v>4.5</v>
      </c>
      <c r="L604" s="3">
        <f t="shared" si="27"/>
        <v>0.33319218438086018</v>
      </c>
      <c r="M604" s="4">
        <f t="shared" si="28"/>
        <v>271</v>
      </c>
      <c r="N604" s="2">
        <f t="shared" si="29"/>
        <v>15.25</v>
      </c>
    </row>
    <row r="605" spans="1:14" x14ac:dyDescent="0.25">
      <c r="A605" s="5" t="s">
        <v>232</v>
      </c>
      <c r="B605" s="5" t="s">
        <v>213</v>
      </c>
      <c r="C605" s="5" t="s">
        <v>29</v>
      </c>
      <c r="D605" s="5" t="s">
        <v>17</v>
      </c>
      <c r="E605" s="5">
        <v>40</v>
      </c>
      <c r="F605" s="5">
        <v>9080</v>
      </c>
      <c r="G605" s="5">
        <v>3731</v>
      </c>
      <c r="H605" s="5">
        <v>5</v>
      </c>
      <c r="I605" s="5">
        <v>49</v>
      </c>
      <c r="J605" s="5">
        <v>0</v>
      </c>
      <c r="K605" s="5">
        <v>4.2</v>
      </c>
      <c r="L605" s="6">
        <f t="shared" si="27"/>
        <v>0.41090308370044054</v>
      </c>
      <c r="M605" s="7">
        <f t="shared" si="28"/>
        <v>227</v>
      </c>
      <c r="N605" s="5">
        <f t="shared" si="29"/>
        <v>8</v>
      </c>
    </row>
    <row r="606" spans="1:14" x14ac:dyDescent="0.25">
      <c r="A606" s="2" t="s">
        <v>232</v>
      </c>
      <c r="B606" s="2" t="s">
        <v>213</v>
      </c>
      <c r="C606" s="2" t="s">
        <v>29</v>
      </c>
      <c r="D606" s="2" t="s">
        <v>18</v>
      </c>
      <c r="E606" s="2">
        <v>130</v>
      </c>
      <c r="F606" s="2">
        <v>36920</v>
      </c>
      <c r="G606" s="2">
        <v>13374</v>
      </c>
      <c r="H606" s="2">
        <v>9</v>
      </c>
      <c r="I606" s="2">
        <v>61</v>
      </c>
      <c r="J606" s="2">
        <v>3</v>
      </c>
      <c r="K606" s="2">
        <v>4.3</v>
      </c>
      <c r="L606" s="3">
        <f t="shared" si="27"/>
        <v>0.36224268689057421</v>
      </c>
      <c r="M606" s="4">
        <f t="shared" si="28"/>
        <v>284</v>
      </c>
      <c r="N606" s="2">
        <f t="shared" si="29"/>
        <v>14.444444444444445</v>
      </c>
    </row>
    <row r="607" spans="1:14" x14ac:dyDescent="0.25">
      <c r="A607" s="5" t="s">
        <v>232</v>
      </c>
      <c r="B607" s="5" t="s">
        <v>213</v>
      </c>
      <c r="C607" s="5" t="s">
        <v>29</v>
      </c>
      <c r="D607" s="5" t="s">
        <v>19</v>
      </c>
      <c r="E607" s="5">
        <v>74</v>
      </c>
      <c r="F607" s="5">
        <v>16946</v>
      </c>
      <c r="G607" s="5">
        <v>5532</v>
      </c>
      <c r="H607" s="5">
        <v>4</v>
      </c>
      <c r="I607" s="5">
        <v>61</v>
      </c>
      <c r="J607" s="5">
        <v>3</v>
      </c>
      <c r="K607" s="5">
        <v>4.5999999999999996</v>
      </c>
      <c r="L607" s="6">
        <f t="shared" si="27"/>
        <v>0.32644871946181991</v>
      </c>
      <c r="M607" s="7">
        <f t="shared" si="28"/>
        <v>229</v>
      </c>
      <c r="N607" s="5">
        <f t="shared" si="29"/>
        <v>18.5</v>
      </c>
    </row>
    <row r="608" spans="1:14" x14ac:dyDescent="0.25">
      <c r="A608" s="2" t="s">
        <v>233</v>
      </c>
      <c r="B608" s="2" t="s">
        <v>213</v>
      </c>
      <c r="C608" s="2" t="s">
        <v>31</v>
      </c>
      <c r="D608" s="2" t="s">
        <v>17</v>
      </c>
      <c r="E608" s="2">
        <v>40</v>
      </c>
      <c r="F608" s="2">
        <v>7960</v>
      </c>
      <c r="G608" s="2">
        <v>3230</v>
      </c>
      <c r="H608" s="2">
        <v>5</v>
      </c>
      <c r="I608" s="2">
        <v>44</v>
      </c>
      <c r="J608" s="2">
        <v>0</v>
      </c>
      <c r="K608" s="2">
        <v>4.4000000000000004</v>
      </c>
      <c r="L608" s="3">
        <f t="shared" si="27"/>
        <v>0.40577889447236182</v>
      </c>
      <c r="M608" s="4">
        <f t="shared" si="28"/>
        <v>199</v>
      </c>
      <c r="N608" s="2">
        <f t="shared" si="29"/>
        <v>8</v>
      </c>
    </row>
    <row r="609" spans="1:14" x14ac:dyDescent="0.25">
      <c r="A609" s="5" t="s">
        <v>233</v>
      </c>
      <c r="B609" s="5" t="s">
        <v>213</v>
      </c>
      <c r="C609" s="5" t="s">
        <v>31</v>
      </c>
      <c r="D609" s="5" t="s">
        <v>18</v>
      </c>
      <c r="E609" s="5">
        <v>91</v>
      </c>
      <c r="F609" s="5">
        <v>31122</v>
      </c>
      <c r="G609" s="5">
        <v>8803</v>
      </c>
      <c r="H609" s="5">
        <v>6</v>
      </c>
      <c r="I609" s="5">
        <v>65</v>
      </c>
      <c r="J609" s="5">
        <v>3</v>
      </c>
      <c r="K609" s="5">
        <v>3.8</v>
      </c>
      <c r="L609" s="6">
        <f t="shared" si="27"/>
        <v>0.28285457232825656</v>
      </c>
      <c r="M609" s="7">
        <f t="shared" si="28"/>
        <v>342</v>
      </c>
      <c r="N609" s="5">
        <f t="shared" si="29"/>
        <v>15.166666666666666</v>
      </c>
    </row>
    <row r="610" spans="1:14" x14ac:dyDescent="0.25">
      <c r="A610" s="2" t="s">
        <v>233</v>
      </c>
      <c r="B610" s="2" t="s">
        <v>213</v>
      </c>
      <c r="C610" s="2" t="s">
        <v>31</v>
      </c>
      <c r="D610" s="2" t="s">
        <v>19</v>
      </c>
      <c r="E610" s="2">
        <v>86</v>
      </c>
      <c r="F610" s="2">
        <v>24768</v>
      </c>
      <c r="G610" s="2">
        <v>9353</v>
      </c>
      <c r="H610" s="2">
        <v>7</v>
      </c>
      <c r="I610" s="2">
        <v>40</v>
      </c>
      <c r="J610" s="2">
        <v>0</v>
      </c>
      <c r="K610" s="2">
        <v>3.9</v>
      </c>
      <c r="L610" s="3">
        <f t="shared" si="27"/>
        <v>0.37762435400516797</v>
      </c>
      <c r="M610" s="4">
        <f t="shared" si="28"/>
        <v>288</v>
      </c>
      <c r="N610" s="2">
        <f t="shared" si="29"/>
        <v>12.285714285714286</v>
      </c>
    </row>
    <row r="611" spans="1:14" x14ac:dyDescent="0.25">
      <c r="A611" s="5" t="s">
        <v>234</v>
      </c>
      <c r="B611" s="5" t="s">
        <v>213</v>
      </c>
      <c r="C611" s="5" t="s">
        <v>16</v>
      </c>
      <c r="D611" s="5" t="s">
        <v>17</v>
      </c>
      <c r="E611" s="5">
        <v>26</v>
      </c>
      <c r="F611" s="5">
        <v>5512</v>
      </c>
      <c r="G611" s="5">
        <v>2207</v>
      </c>
      <c r="H611" s="5">
        <v>4</v>
      </c>
      <c r="I611" s="5">
        <v>54</v>
      </c>
      <c r="J611" s="5">
        <v>2</v>
      </c>
      <c r="K611" s="5">
        <v>4.3</v>
      </c>
      <c r="L611" s="6">
        <f t="shared" si="27"/>
        <v>0.40039912917271409</v>
      </c>
      <c r="M611" s="7">
        <f t="shared" si="28"/>
        <v>212</v>
      </c>
      <c r="N611" s="5">
        <f t="shared" si="29"/>
        <v>6.5</v>
      </c>
    </row>
    <row r="612" spans="1:14" x14ac:dyDescent="0.25">
      <c r="A612" s="2" t="s">
        <v>234</v>
      </c>
      <c r="B612" s="2" t="s">
        <v>213</v>
      </c>
      <c r="C612" s="2" t="s">
        <v>16</v>
      </c>
      <c r="D612" s="2" t="s">
        <v>18</v>
      </c>
      <c r="E612" s="2">
        <v>74</v>
      </c>
      <c r="F612" s="2">
        <v>26492</v>
      </c>
      <c r="G612" s="2">
        <v>9164</v>
      </c>
      <c r="H612" s="2">
        <v>7</v>
      </c>
      <c r="I612" s="2">
        <v>54</v>
      </c>
      <c r="J612" s="2">
        <v>0</v>
      </c>
      <c r="K612" s="2">
        <v>3.9</v>
      </c>
      <c r="L612" s="3">
        <f t="shared" si="27"/>
        <v>0.34591574815038501</v>
      </c>
      <c r="M612" s="4">
        <f t="shared" si="28"/>
        <v>358</v>
      </c>
      <c r="N612" s="2">
        <f t="shared" si="29"/>
        <v>10.571428571428571</v>
      </c>
    </row>
    <row r="613" spans="1:14" x14ac:dyDescent="0.25">
      <c r="A613" s="5" t="s">
        <v>234</v>
      </c>
      <c r="B613" s="5" t="s">
        <v>213</v>
      </c>
      <c r="C613" s="5" t="s">
        <v>16</v>
      </c>
      <c r="D613" s="5" t="s">
        <v>19</v>
      </c>
      <c r="E613" s="5">
        <v>47</v>
      </c>
      <c r="F613" s="5">
        <v>14711</v>
      </c>
      <c r="G613" s="5">
        <v>5311</v>
      </c>
      <c r="H613" s="5">
        <v>5</v>
      </c>
      <c r="I613" s="5">
        <v>48</v>
      </c>
      <c r="J613" s="5">
        <v>2</v>
      </c>
      <c r="K613" s="5">
        <v>3.9</v>
      </c>
      <c r="L613" s="6">
        <f t="shared" si="27"/>
        <v>0.36102236421725242</v>
      </c>
      <c r="M613" s="7">
        <f t="shared" si="28"/>
        <v>313</v>
      </c>
      <c r="N613" s="5">
        <f t="shared" si="29"/>
        <v>9.4</v>
      </c>
    </row>
    <row r="614" spans="1:14" x14ac:dyDescent="0.25">
      <c r="A614" s="2" t="s">
        <v>235</v>
      </c>
      <c r="B614" s="2" t="s">
        <v>213</v>
      </c>
      <c r="C614" s="2" t="s">
        <v>21</v>
      </c>
      <c r="D614" s="2" t="s">
        <v>17</v>
      </c>
      <c r="E614" s="2">
        <v>18</v>
      </c>
      <c r="F614" s="2">
        <v>4230</v>
      </c>
      <c r="G614" s="2">
        <v>1352</v>
      </c>
      <c r="H614" s="2">
        <v>3</v>
      </c>
      <c r="I614" s="2">
        <v>55</v>
      </c>
      <c r="J614" s="2">
        <v>2</v>
      </c>
      <c r="K614" s="2">
        <v>3.8</v>
      </c>
      <c r="L614" s="3">
        <f t="shared" si="27"/>
        <v>0.31962174940898347</v>
      </c>
      <c r="M614" s="4">
        <f t="shared" si="28"/>
        <v>235</v>
      </c>
      <c r="N614" s="2">
        <f t="shared" si="29"/>
        <v>6</v>
      </c>
    </row>
    <row r="615" spans="1:14" x14ac:dyDescent="0.25">
      <c r="A615" s="5" t="s">
        <v>235</v>
      </c>
      <c r="B615" s="5" t="s">
        <v>213</v>
      </c>
      <c r="C615" s="5" t="s">
        <v>21</v>
      </c>
      <c r="D615" s="5" t="s">
        <v>18</v>
      </c>
      <c r="E615" s="5">
        <v>38</v>
      </c>
      <c r="F615" s="5">
        <v>11362</v>
      </c>
      <c r="G615" s="5">
        <v>4108</v>
      </c>
      <c r="H615" s="5">
        <v>6</v>
      </c>
      <c r="I615" s="5">
        <v>72</v>
      </c>
      <c r="J615" s="5">
        <v>2</v>
      </c>
      <c r="K615" s="5">
        <v>4.2</v>
      </c>
      <c r="L615" s="6">
        <f t="shared" si="27"/>
        <v>0.36155606407322655</v>
      </c>
      <c r="M615" s="7">
        <f t="shared" si="28"/>
        <v>299</v>
      </c>
      <c r="N615" s="5">
        <f t="shared" si="29"/>
        <v>6.333333333333333</v>
      </c>
    </row>
    <row r="616" spans="1:14" x14ac:dyDescent="0.25">
      <c r="A616" s="2" t="s">
        <v>235</v>
      </c>
      <c r="B616" s="2" t="s">
        <v>213</v>
      </c>
      <c r="C616" s="2" t="s">
        <v>21</v>
      </c>
      <c r="D616" s="2" t="s">
        <v>19</v>
      </c>
      <c r="E616" s="2">
        <v>43</v>
      </c>
      <c r="F616" s="2">
        <v>10836</v>
      </c>
      <c r="G616" s="2">
        <v>3038</v>
      </c>
      <c r="H616" s="2">
        <v>4</v>
      </c>
      <c r="I616" s="2">
        <v>52</v>
      </c>
      <c r="J616" s="2">
        <v>3</v>
      </c>
      <c r="K616" s="2">
        <v>3.9</v>
      </c>
      <c r="L616" s="3">
        <f t="shared" si="27"/>
        <v>0.28036175710594313</v>
      </c>
      <c r="M616" s="4">
        <f t="shared" si="28"/>
        <v>252</v>
      </c>
      <c r="N616" s="2">
        <f t="shared" si="29"/>
        <v>10.75</v>
      </c>
    </row>
    <row r="617" spans="1:14" x14ac:dyDescent="0.25">
      <c r="A617" s="5" t="s">
        <v>236</v>
      </c>
      <c r="B617" s="5" t="s">
        <v>213</v>
      </c>
      <c r="C617" s="5" t="s">
        <v>23</v>
      </c>
      <c r="D617" s="5" t="s">
        <v>17</v>
      </c>
      <c r="E617" s="5">
        <v>23</v>
      </c>
      <c r="F617" s="5">
        <v>5888</v>
      </c>
      <c r="G617" s="5">
        <v>1860</v>
      </c>
      <c r="H617" s="5">
        <v>4</v>
      </c>
      <c r="I617" s="5">
        <v>46</v>
      </c>
      <c r="J617" s="5">
        <v>0</v>
      </c>
      <c r="K617" s="5">
        <v>4.3</v>
      </c>
      <c r="L617" s="6">
        <f t="shared" si="27"/>
        <v>0.31589673913043476</v>
      </c>
      <c r="M617" s="7">
        <f t="shared" si="28"/>
        <v>256</v>
      </c>
      <c r="N617" s="5">
        <f t="shared" si="29"/>
        <v>5.75</v>
      </c>
    </row>
    <row r="618" spans="1:14" x14ac:dyDescent="0.25">
      <c r="A618" s="2" t="s">
        <v>236</v>
      </c>
      <c r="B618" s="2" t="s">
        <v>213</v>
      </c>
      <c r="C618" s="2" t="s">
        <v>23</v>
      </c>
      <c r="D618" s="2" t="s">
        <v>18</v>
      </c>
      <c r="E618" s="2">
        <v>54</v>
      </c>
      <c r="F618" s="2">
        <v>15120</v>
      </c>
      <c r="G618" s="2">
        <v>4520</v>
      </c>
      <c r="H618" s="2">
        <v>9</v>
      </c>
      <c r="I618" s="2">
        <v>68</v>
      </c>
      <c r="J618" s="2">
        <v>0</v>
      </c>
      <c r="K618" s="2">
        <v>4.5999999999999996</v>
      </c>
      <c r="L618" s="3">
        <f t="shared" si="27"/>
        <v>0.29894179894179895</v>
      </c>
      <c r="M618" s="4">
        <f t="shared" si="28"/>
        <v>280</v>
      </c>
      <c r="N618" s="2">
        <f t="shared" si="29"/>
        <v>6</v>
      </c>
    </row>
    <row r="619" spans="1:14" x14ac:dyDescent="0.25">
      <c r="A619" s="5" t="s">
        <v>236</v>
      </c>
      <c r="B619" s="5" t="s">
        <v>213</v>
      </c>
      <c r="C619" s="5" t="s">
        <v>23</v>
      </c>
      <c r="D619" s="5" t="s">
        <v>19</v>
      </c>
      <c r="E619" s="5">
        <v>31</v>
      </c>
      <c r="F619" s="5">
        <v>8990</v>
      </c>
      <c r="G619" s="5">
        <v>2820</v>
      </c>
      <c r="H619" s="5">
        <v>6</v>
      </c>
      <c r="I619" s="5">
        <v>60</v>
      </c>
      <c r="J619" s="5">
        <v>1</v>
      </c>
      <c r="K619" s="5">
        <v>3.9</v>
      </c>
      <c r="L619" s="6">
        <f t="shared" si="27"/>
        <v>0.31368186874304782</v>
      </c>
      <c r="M619" s="7">
        <f t="shared" si="28"/>
        <v>290</v>
      </c>
      <c r="N619" s="5">
        <f t="shared" si="29"/>
        <v>5.166666666666667</v>
      </c>
    </row>
    <row r="620" spans="1:14" x14ac:dyDescent="0.25">
      <c r="A620" s="2" t="s">
        <v>237</v>
      </c>
      <c r="B620" s="2" t="s">
        <v>213</v>
      </c>
      <c r="C620" s="2" t="s">
        <v>25</v>
      </c>
      <c r="D620" s="2" t="s">
        <v>17</v>
      </c>
      <c r="E620" s="2">
        <v>31</v>
      </c>
      <c r="F620" s="2">
        <v>7812</v>
      </c>
      <c r="G620" s="2">
        <v>2577</v>
      </c>
      <c r="H620" s="2">
        <v>5</v>
      </c>
      <c r="I620" s="2">
        <v>44</v>
      </c>
      <c r="J620" s="2">
        <v>0</v>
      </c>
      <c r="K620" s="2">
        <v>3.9</v>
      </c>
      <c r="L620" s="3">
        <f t="shared" si="27"/>
        <v>0.32987711213517668</v>
      </c>
      <c r="M620" s="4">
        <f t="shared" si="28"/>
        <v>252</v>
      </c>
      <c r="N620" s="2">
        <f t="shared" si="29"/>
        <v>6.2</v>
      </c>
    </row>
    <row r="621" spans="1:14" x14ac:dyDescent="0.25">
      <c r="A621" s="5" t="s">
        <v>237</v>
      </c>
      <c r="B621" s="5" t="s">
        <v>213</v>
      </c>
      <c r="C621" s="5" t="s">
        <v>25</v>
      </c>
      <c r="D621" s="5" t="s">
        <v>18</v>
      </c>
      <c r="E621" s="5">
        <v>80</v>
      </c>
      <c r="F621" s="5">
        <v>34880</v>
      </c>
      <c r="G621" s="5">
        <v>10169</v>
      </c>
      <c r="H621" s="5">
        <v>9</v>
      </c>
      <c r="I621" s="5">
        <v>72</v>
      </c>
      <c r="J621" s="5">
        <v>1</v>
      </c>
      <c r="K621" s="5">
        <v>4.7</v>
      </c>
      <c r="L621" s="6">
        <f t="shared" si="27"/>
        <v>0.29154243119266054</v>
      </c>
      <c r="M621" s="7">
        <f t="shared" si="28"/>
        <v>436</v>
      </c>
      <c r="N621" s="5">
        <f t="shared" si="29"/>
        <v>8.8888888888888893</v>
      </c>
    </row>
    <row r="622" spans="1:14" x14ac:dyDescent="0.25">
      <c r="A622" s="2" t="s">
        <v>237</v>
      </c>
      <c r="B622" s="2" t="s">
        <v>213</v>
      </c>
      <c r="C622" s="2" t="s">
        <v>25</v>
      </c>
      <c r="D622" s="2" t="s">
        <v>19</v>
      </c>
      <c r="E622" s="2">
        <v>45</v>
      </c>
      <c r="F622" s="2">
        <v>9495</v>
      </c>
      <c r="G622" s="2">
        <v>2721</v>
      </c>
      <c r="H622" s="2">
        <v>5</v>
      </c>
      <c r="I622" s="2">
        <v>59</v>
      </c>
      <c r="J622" s="2">
        <v>0</v>
      </c>
      <c r="K622" s="2">
        <v>3.8</v>
      </c>
      <c r="L622" s="3">
        <f t="shared" si="27"/>
        <v>0.28657187993680883</v>
      </c>
      <c r="M622" s="4">
        <f t="shared" si="28"/>
        <v>211</v>
      </c>
      <c r="N622" s="2">
        <f t="shared" si="29"/>
        <v>9</v>
      </c>
    </row>
    <row r="623" spans="1:14" x14ac:dyDescent="0.25">
      <c r="A623" s="5" t="s">
        <v>238</v>
      </c>
      <c r="B623" s="5" t="s">
        <v>213</v>
      </c>
      <c r="C623" s="5" t="s">
        <v>27</v>
      </c>
      <c r="D623" s="5" t="s">
        <v>17</v>
      </c>
      <c r="E623" s="5">
        <v>47</v>
      </c>
      <c r="F623" s="5">
        <v>10199</v>
      </c>
      <c r="G623" s="5">
        <v>3025</v>
      </c>
      <c r="H623" s="5">
        <v>4</v>
      </c>
      <c r="I623" s="5">
        <v>44</v>
      </c>
      <c r="J623" s="5">
        <v>2</v>
      </c>
      <c r="K623" s="5">
        <v>4.0999999999999996</v>
      </c>
      <c r="L623" s="6">
        <f t="shared" si="27"/>
        <v>0.29659770565741739</v>
      </c>
      <c r="M623" s="7">
        <f t="shared" si="28"/>
        <v>217</v>
      </c>
      <c r="N623" s="5">
        <f t="shared" si="29"/>
        <v>11.75</v>
      </c>
    </row>
    <row r="624" spans="1:14" x14ac:dyDescent="0.25">
      <c r="A624" s="2" t="s">
        <v>238</v>
      </c>
      <c r="B624" s="2" t="s">
        <v>213</v>
      </c>
      <c r="C624" s="2" t="s">
        <v>27</v>
      </c>
      <c r="D624" s="2" t="s">
        <v>18</v>
      </c>
      <c r="E624" s="2">
        <v>113</v>
      </c>
      <c r="F624" s="2">
        <v>50398</v>
      </c>
      <c r="G624" s="2">
        <v>19586</v>
      </c>
      <c r="H624" s="2">
        <v>10</v>
      </c>
      <c r="I624" s="2">
        <v>69</v>
      </c>
      <c r="J624" s="2">
        <v>0</v>
      </c>
      <c r="K624" s="2">
        <v>4.3</v>
      </c>
      <c r="L624" s="3">
        <f t="shared" si="27"/>
        <v>0.38862653279892057</v>
      </c>
      <c r="M624" s="4">
        <f t="shared" si="28"/>
        <v>446</v>
      </c>
      <c r="N624" s="2">
        <f t="shared" si="29"/>
        <v>11.3</v>
      </c>
    </row>
    <row r="625" spans="1:14" x14ac:dyDescent="0.25">
      <c r="A625" s="5" t="s">
        <v>238</v>
      </c>
      <c r="B625" s="5" t="s">
        <v>213</v>
      </c>
      <c r="C625" s="5" t="s">
        <v>27</v>
      </c>
      <c r="D625" s="5" t="s">
        <v>19</v>
      </c>
      <c r="E625" s="5">
        <v>44</v>
      </c>
      <c r="F625" s="5">
        <v>9328</v>
      </c>
      <c r="G625" s="5">
        <v>3615</v>
      </c>
      <c r="H625" s="5">
        <v>6</v>
      </c>
      <c r="I625" s="5">
        <v>45</v>
      </c>
      <c r="J625" s="5">
        <v>1</v>
      </c>
      <c r="K625" s="5">
        <v>4.0999999999999996</v>
      </c>
      <c r="L625" s="6">
        <f t="shared" si="27"/>
        <v>0.38754288164665524</v>
      </c>
      <c r="M625" s="7">
        <f t="shared" si="28"/>
        <v>212</v>
      </c>
      <c r="N625" s="5">
        <f t="shared" si="29"/>
        <v>7.333333333333333</v>
      </c>
    </row>
    <row r="626" spans="1:14" x14ac:dyDescent="0.25">
      <c r="A626" s="2" t="s">
        <v>239</v>
      </c>
      <c r="B626" s="2" t="s">
        <v>213</v>
      </c>
      <c r="C626" s="2" t="s">
        <v>29</v>
      </c>
      <c r="D626" s="2" t="s">
        <v>17</v>
      </c>
      <c r="E626" s="2">
        <v>48</v>
      </c>
      <c r="F626" s="2">
        <v>12912</v>
      </c>
      <c r="G626" s="2">
        <v>4964</v>
      </c>
      <c r="H626" s="2">
        <v>3</v>
      </c>
      <c r="I626" s="2">
        <v>36</v>
      </c>
      <c r="J626" s="2">
        <v>2</v>
      </c>
      <c r="K626" s="2">
        <v>4.2</v>
      </c>
      <c r="L626" s="3">
        <f t="shared" si="27"/>
        <v>0.38444857496902107</v>
      </c>
      <c r="M626" s="4">
        <f t="shared" si="28"/>
        <v>269</v>
      </c>
      <c r="N626" s="2">
        <f t="shared" si="29"/>
        <v>16</v>
      </c>
    </row>
    <row r="627" spans="1:14" x14ac:dyDescent="0.25">
      <c r="A627" s="5" t="s">
        <v>239</v>
      </c>
      <c r="B627" s="5" t="s">
        <v>213</v>
      </c>
      <c r="C627" s="5" t="s">
        <v>29</v>
      </c>
      <c r="D627" s="5" t="s">
        <v>18</v>
      </c>
      <c r="E627" s="5">
        <v>167</v>
      </c>
      <c r="F627" s="5">
        <v>48764</v>
      </c>
      <c r="G627" s="5">
        <v>17982</v>
      </c>
      <c r="H627" s="5">
        <v>9</v>
      </c>
      <c r="I627" s="5">
        <v>55</v>
      </c>
      <c r="J627" s="5">
        <v>1</v>
      </c>
      <c r="K627" s="5">
        <v>4.0999999999999996</v>
      </c>
      <c r="L627" s="6">
        <f t="shared" si="27"/>
        <v>0.36875563940611927</v>
      </c>
      <c r="M627" s="7">
        <f t="shared" si="28"/>
        <v>292</v>
      </c>
      <c r="N627" s="5">
        <f t="shared" si="29"/>
        <v>18.555555555555557</v>
      </c>
    </row>
    <row r="628" spans="1:14" x14ac:dyDescent="0.25">
      <c r="A628" s="2" t="s">
        <v>239</v>
      </c>
      <c r="B628" s="2" t="s">
        <v>213</v>
      </c>
      <c r="C628" s="2" t="s">
        <v>29</v>
      </c>
      <c r="D628" s="2" t="s">
        <v>19</v>
      </c>
      <c r="E628" s="2">
        <v>72</v>
      </c>
      <c r="F628" s="2">
        <v>21456</v>
      </c>
      <c r="G628" s="2">
        <v>7204</v>
      </c>
      <c r="H628" s="2">
        <v>7</v>
      </c>
      <c r="I628" s="2">
        <v>47</v>
      </c>
      <c r="J628" s="2">
        <v>2</v>
      </c>
      <c r="K628" s="2">
        <v>3.9</v>
      </c>
      <c r="L628" s="3">
        <f t="shared" si="27"/>
        <v>0.33575689783743473</v>
      </c>
      <c r="M628" s="4">
        <f t="shared" si="28"/>
        <v>298</v>
      </c>
      <c r="N628" s="2">
        <f t="shared" si="29"/>
        <v>10.285714285714286</v>
      </c>
    </row>
    <row r="629" spans="1:14" x14ac:dyDescent="0.25">
      <c r="A629" s="5" t="s">
        <v>240</v>
      </c>
      <c r="B629" s="5" t="s">
        <v>213</v>
      </c>
      <c r="C629" s="5" t="s">
        <v>31</v>
      </c>
      <c r="D629" s="5" t="s">
        <v>17</v>
      </c>
      <c r="E629" s="5">
        <v>38</v>
      </c>
      <c r="F629" s="5">
        <v>9538</v>
      </c>
      <c r="G629" s="5">
        <v>2697</v>
      </c>
      <c r="H629" s="5">
        <v>5</v>
      </c>
      <c r="I629" s="5">
        <v>48</v>
      </c>
      <c r="J629" s="5">
        <v>2</v>
      </c>
      <c r="K629" s="5">
        <v>4.2</v>
      </c>
      <c r="L629" s="6">
        <f t="shared" si="27"/>
        <v>0.28276368211365066</v>
      </c>
      <c r="M629" s="7">
        <f t="shared" si="28"/>
        <v>251</v>
      </c>
      <c r="N629" s="5">
        <f t="shared" si="29"/>
        <v>7.6</v>
      </c>
    </row>
    <row r="630" spans="1:14" x14ac:dyDescent="0.25">
      <c r="A630" s="2" t="s">
        <v>240</v>
      </c>
      <c r="B630" s="2" t="s">
        <v>213</v>
      </c>
      <c r="C630" s="2" t="s">
        <v>31</v>
      </c>
      <c r="D630" s="2" t="s">
        <v>18</v>
      </c>
      <c r="E630" s="2">
        <v>113</v>
      </c>
      <c r="F630" s="2">
        <v>40906</v>
      </c>
      <c r="G630" s="2">
        <v>13636</v>
      </c>
      <c r="H630" s="2">
        <v>7</v>
      </c>
      <c r="I630" s="2">
        <v>65</v>
      </c>
      <c r="J630" s="2">
        <v>4</v>
      </c>
      <c r="K630" s="2">
        <v>4.5</v>
      </c>
      <c r="L630" s="3">
        <f t="shared" si="27"/>
        <v>0.33334963086099839</v>
      </c>
      <c r="M630" s="4">
        <f t="shared" si="28"/>
        <v>362</v>
      </c>
      <c r="N630" s="2">
        <f t="shared" si="29"/>
        <v>16.142857142857142</v>
      </c>
    </row>
    <row r="631" spans="1:14" x14ac:dyDescent="0.25">
      <c r="A631" s="5" t="s">
        <v>240</v>
      </c>
      <c r="B631" s="5" t="s">
        <v>213</v>
      </c>
      <c r="C631" s="5" t="s">
        <v>31</v>
      </c>
      <c r="D631" s="5" t="s">
        <v>19</v>
      </c>
      <c r="E631" s="5">
        <v>35</v>
      </c>
      <c r="F631" s="5">
        <v>11095</v>
      </c>
      <c r="G631" s="5">
        <v>3924</v>
      </c>
      <c r="H631" s="5">
        <v>5</v>
      </c>
      <c r="I631" s="5">
        <v>57</v>
      </c>
      <c r="J631" s="5">
        <v>0</v>
      </c>
      <c r="K631" s="5">
        <v>3.8</v>
      </c>
      <c r="L631" s="6">
        <f t="shared" si="27"/>
        <v>0.35367282559711583</v>
      </c>
      <c r="M631" s="7">
        <f t="shared" si="28"/>
        <v>317</v>
      </c>
      <c r="N631" s="5">
        <f t="shared" si="29"/>
        <v>7</v>
      </c>
    </row>
    <row r="632" spans="1:14" x14ac:dyDescent="0.25">
      <c r="A632" s="2" t="s">
        <v>241</v>
      </c>
      <c r="B632" s="2" t="s">
        <v>213</v>
      </c>
      <c r="C632" s="2" t="s">
        <v>16</v>
      </c>
      <c r="D632" s="2" t="s">
        <v>17</v>
      </c>
      <c r="E632" s="2">
        <v>16</v>
      </c>
      <c r="F632" s="2">
        <v>3376</v>
      </c>
      <c r="G632" s="2">
        <v>1185</v>
      </c>
      <c r="H632" s="2">
        <v>3</v>
      </c>
      <c r="I632" s="2">
        <v>48</v>
      </c>
      <c r="J632" s="2">
        <v>0</v>
      </c>
      <c r="K632" s="2">
        <v>4</v>
      </c>
      <c r="L632" s="3">
        <f t="shared" si="27"/>
        <v>0.35100710900473936</v>
      </c>
      <c r="M632" s="4">
        <f t="shared" si="28"/>
        <v>211</v>
      </c>
      <c r="N632" s="2">
        <f t="shared" si="29"/>
        <v>5.333333333333333</v>
      </c>
    </row>
    <row r="633" spans="1:14" x14ac:dyDescent="0.25">
      <c r="A633" s="5" t="s">
        <v>241</v>
      </c>
      <c r="B633" s="5" t="s">
        <v>213</v>
      </c>
      <c r="C633" s="5" t="s">
        <v>16</v>
      </c>
      <c r="D633" s="5" t="s">
        <v>18</v>
      </c>
      <c r="E633" s="5">
        <v>76</v>
      </c>
      <c r="F633" s="5">
        <v>32756</v>
      </c>
      <c r="G633" s="5">
        <v>9193</v>
      </c>
      <c r="H633" s="5">
        <v>6</v>
      </c>
      <c r="I633" s="5">
        <v>63</v>
      </c>
      <c r="J633" s="5">
        <v>1</v>
      </c>
      <c r="K633" s="5">
        <v>4</v>
      </c>
      <c r="L633" s="6">
        <f t="shared" si="27"/>
        <v>0.28065087312248138</v>
      </c>
      <c r="M633" s="7">
        <f t="shared" si="28"/>
        <v>431</v>
      </c>
      <c r="N633" s="5">
        <f t="shared" si="29"/>
        <v>12.666666666666666</v>
      </c>
    </row>
    <row r="634" spans="1:14" x14ac:dyDescent="0.25">
      <c r="A634" s="2" t="s">
        <v>241</v>
      </c>
      <c r="B634" s="2" t="s">
        <v>213</v>
      </c>
      <c r="C634" s="2" t="s">
        <v>16</v>
      </c>
      <c r="D634" s="2" t="s">
        <v>19</v>
      </c>
      <c r="E634" s="2">
        <v>39</v>
      </c>
      <c r="F634" s="2">
        <v>9282</v>
      </c>
      <c r="G634" s="2">
        <v>3753</v>
      </c>
      <c r="H634" s="2">
        <v>5</v>
      </c>
      <c r="I634" s="2">
        <v>56</v>
      </c>
      <c r="J634" s="2">
        <v>0</v>
      </c>
      <c r="K634" s="2">
        <v>4.3</v>
      </c>
      <c r="L634" s="3">
        <f t="shared" si="27"/>
        <v>0.40433096315449257</v>
      </c>
      <c r="M634" s="4">
        <f t="shared" si="28"/>
        <v>238</v>
      </c>
      <c r="N634" s="2">
        <f t="shared" si="29"/>
        <v>7.8</v>
      </c>
    </row>
    <row r="635" spans="1:14" x14ac:dyDescent="0.25">
      <c r="A635" s="5" t="s">
        <v>242</v>
      </c>
      <c r="B635" s="5" t="s">
        <v>213</v>
      </c>
      <c r="C635" s="5" t="s">
        <v>21</v>
      </c>
      <c r="D635" s="5" t="s">
        <v>17</v>
      </c>
      <c r="E635" s="5">
        <v>29</v>
      </c>
      <c r="F635" s="5">
        <v>6554</v>
      </c>
      <c r="G635" s="5">
        <v>2631</v>
      </c>
      <c r="H635" s="5">
        <v>5</v>
      </c>
      <c r="I635" s="5">
        <v>39</v>
      </c>
      <c r="J635" s="5">
        <v>0</v>
      </c>
      <c r="K635" s="5">
        <v>4.4000000000000004</v>
      </c>
      <c r="L635" s="6">
        <f t="shared" si="27"/>
        <v>0.40143423863289596</v>
      </c>
      <c r="M635" s="7">
        <f t="shared" si="28"/>
        <v>226</v>
      </c>
      <c r="N635" s="5">
        <f t="shared" si="29"/>
        <v>5.8</v>
      </c>
    </row>
    <row r="636" spans="1:14" x14ac:dyDescent="0.25">
      <c r="A636" s="2" t="s">
        <v>242</v>
      </c>
      <c r="B636" s="2" t="s">
        <v>213</v>
      </c>
      <c r="C636" s="2" t="s">
        <v>21</v>
      </c>
      <c r="D636" s="2" t="s">
        <v>18</v>
      </c>
      <c r="E636" s="2">
        <v>63</v>
      </c>
      <c r="F636" s="2">
        <v>27342</v>
      </c>
      <c r="G636" s="2">
        <v>8237</v>
      </c>
      <c r="H636" s="2">
        <v>10</v>
      </c>
      <c r="I636" s="2">
        <v>48</v>
      </c>
      <c r="J636" s="2">
        <v>1</v>
      </c>
      <c r="K636" s="2">
        <v>4.0999999999999996</v>
      </c>
      <c r="L636" s="3">
        <f t="shared" si="27"/>
        <v>0.3012581376636676</v>
      </c>
      <c r="M636" s="4">
        <f t="shared" si="28"/>
        <v>434</v>
      </c>
      <c r="N636" s="2">
        <f t="shared" si="29"/>
        <v>6.3</v>
      </c>
    </row>
    <row r="637" spans="1:14" x14ac:dyDescent="0.25">
      <c r="A637" s="5" t="s">
        <v>242</v>
      </c>
      <c r="B637" s="5" t="s">
        <v>213</v>
      </c>
      <c r="C637" s="5" t="s">
        <v>21</v>
      </c>
      <c r="D637" s="5" t="s">
        <v>19</v>
      </c>
      <c r="E637" s="5">
        <v>20</v>
      </c>
      <c r="F637" s="5">
        <v>6340</v>
      </c>
      <c r="G637" s="5">
        <v>2570</v>
      </c>
      <c r="H637" s="5">
        <v>6</v>
      </c>
      <c r="I637" s="5">
        <v>49</v>
      </c>
      <c r="J637" s="5">
        <v>1</v>
      </c>
      <c r="K637" s="5">
        <v>3.7</v>
      </c>
      <c r="L637" s="6">
        <f t="shared" si="27"/>
        <v>0.40536277602523657</v>
      </c>
      <c r="M637" s="7">
        <f t="shared" si="28"/>
        <v>317</v>
      </c>
      <c r="N637" s="5">
        <f t="shared" si="29"/>
        <v>3.3333333333333335</v>
      </c>
    </row>
    <row r="638" spans="1:14" x14ac:dyDescent="0.25">
      <c r="A638" s="2" t="s">
        <v>243</v>
      </c>
      <c r="B638" s="2" t="s">
        <v>213</v>
      </c>
      <c r="C638" s="2" t="s">
        <v>23</v>
      </c>
      <c r="D638" s="2" t="s">
        <v>17</v>
      </c>
      <c r="E638" s="2">
        <v>18</v>
      </c>
      <c r="F638" s="2">
        <v>3690</v>
      </c>
      <c r="G638" s="2">
        <v>1107</v>
      </c>
      <c r="H638" s="2">
        <v>4</v>
      </c>
      <c r="I638" s="2">
        <v>47</v>
      </c>
      <c r="J638" s="2">
        <v>2</v>
      </c>
      <c r="K638" s="2">
        <v>4.3</v>
      </c>
      <c r="L638" s="3">
        <f t="shared" si="27"/>
        <v>0.3</v>
      </c>
      <c r="M638" s="4">
        <f t="shared" si="28"/>
        <v>205</v>
      </c>
      <c r="N638" s="2">
        <f t="shared" si="29"/>
        <v>4.5</v>
      </c>
    </row>
    <row r="639" spans="1:14" x14ac:dyDescent="0.25">
      <c r="A639" s="5" t="s">
        <v>243</v>
      </c>
      <c r="B639" s="5" t="s">
        <v>213</v>
      </c>
      <c r="C639" s="5" t="s">
        <v>23</v>
      </c>
      <c r="D639" s="5" t="s">
        <v>18</v>
      </c>
      <c r="E639" s="5">
        <v>59</v>
      </c>
      <c r="F639" s="5">
        <v>16815</v>
      </c>
      <c r="G639" s="5">
        <v>5107</v>
      </c>
      <c r="H639" s="5">
        <v>10</v>
      </c>
      <c r="I639" s="5">
        <v>50</v>
      </c>
      <c r="J639" s="5">
        <v>2</v>
      </c>
      <c r="K639" s="5">
        <v>4.0999999999999996</v>
      </c>
      <c r="L639" s="6">
        <f t="shared" si="27"/>
        <v>0.30371691941718704</v>
      </c>
      <c r="M639" s="7">
        <f t="shared" si="28"/>
        <v>285</v>
      </c>
      <c r="N639" s="5">
        <f t="shared" si="29"/>
        <v>5.9</v>
      </c>
    </row>
    <row r="640" spans="1:14" x14ac:dyDescent="0.25">
      <c r="A640" s="2" t="s">
        <v>243</v>
      </c>
      <c r="B640" s="2" t="s">
        <v>213</v>
      </c>
      <c r="C640" s="2" t="s">
        <v>23</v>
      </c>
      <c r="D640" s="2" t="s">
        <v>19</v>
      </c>
      <c r="E640" s="2">
        <v>52</v>
      </c>
      <c r="F640" s="2">
        <v>13572</v>
      </c>
      <c r="G640" s="2">
        <v>4893</v>
      </c>
      <c r="H640" s="2">
        <v>7</v>
      </c>
      <c r="I640" s="2">
        <v>65</v>
      </c>
      <c r="J640" s="2">
        <v>1</v>
      </c>
      <c r="K640" s="2">
        <v>4.0999999999999996</v>
      </c>
      <c r="L640" s="3">
        <f t="shared" si="27"/>
        <v>0.36052166224580018</v>
      </c>
      <c r="M640" s="4">
        <f t="shared" si="28"/>
        <v>261</v>
      </c>
      <c r="N640" s="2">
        <f t="shared" si="29"/>
        <v>7.4285714285714288</v>
      </c>
    </row>
    <row r="641" spans="1:14" x14ac:dyDescent="0.25">
      <c r="A641" s="5" t="s">
        <v>244</v>
      </c>
      <c r="B641" s="5" t="s">
        <v>245</v>
      </c>
      <c r="C641" s="5" t="s">
        <v>25</v>
      </c>
      <c r="D641" s="5" t="s">
        <v>17</v>
      </c>
      <c r="E641" s="5">
        <v>33</v>
      </c>
      <c r="F641" s="5">
        <v>7590</v>
      </c>
      <c r="G641" s="5">
        <v>2825</v>
      </c>
      <c r="H641" s="5">
        <v>4</v>
      </c>
      <c r="I641" s="5">
        <v>40</v>
      </c>
      <c r="J641" s="5">
        <v>0</v>
      </c>
      <c r="K641" s="5">
        <v>4.2</v>
      </c>
      <c r="L641" s="6">
        <f t="shared" si="27"/>
        <v>0.37220026350461133</v>
      </c>
      <c r="M641" s="7">
        <f t="shared" si="28"/>
        <v>230</v>
      </c>
      <c r="N641" s="5">
        <f t="shared" si="29"/>
        <v>8.25</v>
      </c>
    </row>
    <row r="642" spans="1:14" x14ac:dyDescent="0.25">
      <c r="A642" s="2" t="s">
        <v>244</v>
      </c>
      <c r="B642" s="2" t="s">
        <v>245</v>
      </c>
      <c r="C642" s="2" t="s">
        <v>25</v>
      </c>
      <c r="D642" s="2" t="s">
        <v>18</v>
      </c>
      <c r="E642" s="2">
        <v>78</v>
      </c>
      <c r="F642" s="2">
        <v>25974</v>
      </c>
      <c r="G642" s="2">
        <v>9325</v>
      </c>
      <c r="H642" s="2">
        <v>6</v>
      </c>
      <c r="I642" s="2">
        <v>72</v>
      </c>
      <c r="J642" s="2">
        <v>2</v>
      </c>
      <c r="K642" s="2">
        <v>3.6</v>
      </c>
      <c r="L642" s="3">
        <f t="shared" ref="L642:L705" si="30">G642/F642</f>
        <v>0.35901285901285901</v>
      </c>
      <c r="M642" s="4">
        <f t="shared" ref="M642:M705" si="31">F642/E642</f>
        <v>333</v>
      </c>
      <c r="N642" s="2">
        <f t="shared" ref="N642:N705" si="32">E642/H642</f>
        <v>13</v>
      </c>
    </row>
    <row r="643" spans="1:14" x14ac:dyDescent="0.25">
      <c r="A643" s="5" t="s">
        <v>244</v>
      </c>
      <c r="B643" s="5" t="s">
        <v>245</v>
      </c>
      <c r="C643" s="5" t="s">
        <v>25</v>
      </c>
      <c r="D643" s="5" t="s">
        <v>19</v>
      </c>
      <c r="E643" s="5">
        <v>26</v>
      </c>
      <c r="F643" s="5">
        <v>8138</v>
      </c>
      <c r="G643" s="5">
        <v>2926</v>
      </c>
      <c r="H643" s="5">
        <v>6</v>
      </c>
      <c r="I643" s="5">
        <v>57</v>
      </c>
      <c r="J643" s="5">
        <v>0</v>
      </c>
      <c r="K643" s="5">
        <v>4.3</v>
      </c>
      <c r="L643" s="6">
        <f t="shared" si="30"/>
        <v>0.35954780044236911</v>
      </c>
      <c r="M643" s="7">
        <f t="shared" si="31"/>
        <v>313</v>
      </c>
      <c r="N643" s="5">
        <f t="shared" si="32"/>
        <v>4.333333333333333</v>
      </c>
    </row>
    <row r="644" spans="1:14" x14ac:dyDescent="0.25">
      <c r="A644" s="2" t="s">
        <v>246</v>
      </c>
      <c r="B644" s="2" t="s">
        <v>245</v>
      </c>
      <c r="C644" s="2" t="s">
        <v>27</v>
      </c>
      <c r="D644" s="2" t="s">
        <v>17</v>
      </c>
      <c r="E644" s="2">
        <v>46</v>
      </c>
      <c r="F644" s="2">
        <v>8924</v>
      </c>
      <c r="G644" s="2">
        <v>3194</v>
      </c>
      <c r="H644" s="2">
        <v>4</v>
      </c>
      <c r="I644" s="2">
        <v>40</v>
      </c>
      <c r="J644" s="2">
        <v>1</v>
      </c>
      <c r="K644" s="2">
        <v>4.0999999999999996</v>
      </c>
      <c r="L644" s="3">
        <f t="shared" si="30"/>
        <v>0.35791125056028689</v>
      </c>
      <c r="M644" s="4">
        <f t="shared" si="31"/>
        <v>194</v>
      </c>
      <c r="N644" s="2">
        <f t="shared" si="32"/>
        <v>11.5</v>
      </c>
    </row>
    <row r="645" spans="1:14" x14ac:dyDescent="0.25">
      <c r="A645" s="5" t="s">
        <v>246</v>
      </c>
      <c r="B645" s="5" t="s">
        <v>245</v>
      </c>
      <c r="C645" s="5" t="s">
        <v>27</v>
      </c>
      <c r="D645" s="5" t="s">
        <v>18</v>
      </c>
      <c r="E645" s="5">
        <v>132</v>
      </c>
      <c r="F645" s="5">
        <v>42900</v>
      </c>
      <c r="G645" s="5">
        <v>17192</v>
      </c>
      <c r="H645" s="5">
        <v>8</v>
      </c>
      <c r="I645" s="5">
        <v>72</v>
      </c>
      <c r="J645" s="5">
        <v>1</v>
      </c>
      <c r="K645" s="5">
        <v>4.5</v>
      </c>
      <c r="L645" s="6">
        <f t="shared" si="30"/>
        <v>0.40074592074592075</v>
      </c>
      <c r="M645" s="7">
        <f t="shared" si="31"/>
        <v>325</v>
      </c>
      <c r="N645" s="5">
        <f t="shared" si="32"/>
        <v>16.5</v>
      </c>
    </row>
    <row r="646" spans="1:14" x14ac:dyDescent="0.25">
      <c r="A646" s="2" t="s">
        <v>246</v>
      </c>
      <c r="B646" s="2" t="s">
        <v>245</v>
      </c>
      <c r="C646" s="2" t="s">
        <v>27</v>
      </c>
      <c r="D646" s="2" t="s">
        <v>19</v>
      </c>
      <c r="E646" s="2">
        <v>90</v>
      </c>
      <c r="F646" s="2">
        <v>19350</v>
      </c>
      <c r="G646" s="2">
        <v>7454</v>
      </c>
      <c r="H646" s="2">
        <v>4</v>
      </c>
      <c r="I646" s="2">
        <v>42</v>
      </c>
      <c r="J646" s="2">
        <v>3</v>
      </c>
      <c r="K646" s="2">
        <v>3.6</v>
      </c>
      <c r="L646" s="3">
        <f t="shared" si="30"/>
        <v>0.38521963824289407</v>
      </c>
      <c r="M646" s="4">
        <f t="shared" si="31"/>
        <v>215</v>
      </c>
      <c r="N646" s="2">
        <f t="shared" si="32"/>
        <v>22.5</v>
      </c>
    </row>
    <row r="647" spans="1:14" x14ac:dyDescent="0.25">
      <c r="A647" s="5" t="s">
        <v>247</v>
      </c>
      <c r="B647" s="5" t="s">
        <v>245</v>
      </c>
      <c r="C647" s="5" t="s">
        <v>29</v>
      </c>
      <c r="D647" s="5" t="s">
        <v>17</v>
      </c>
      <c r="E647" s="5">
        <v>39</v>
      </c>
      <c r="F647" s="5">
        <v>9243</v>
      </c>
      <c r="G647" s="5">
        <v>3654</v>
      </c>
      <c r="H647" s="5">
        <v>4</v>
      </c>
      <c r="I647" s="5">
        <v>40</v>
      </c>
      <c r="J647" s="5">
        <v>1</v>
      </c>
      <c r="K647" s="5">
        <v>3.9</v>
      </c>
      <c r="L647" s="6">
        <f t="shared" si="30"/>
        <v>0.39532619279454723</v>
      </c>
      <c r="M647" s="7">
        <f t="shared" si="31"/>
        <v>237</v>
      </c>
      <c r="N647" s="5">
        <f t="shared" si="32"/>
        <v>9.75</v>
      </c>
    </row>
    <row r="648" spans="1:14" x14ac:dyDescent="0.25">
      <c r="A648" s="2" t="s">
        <v>247</v>
      </c>
      <c r="B648" s="2" t="s">
        <v>245</v>
      </c>
      <c r="C648" s="2" t="s">
        <v>29</v>
      </c>
      <c r="D648" s="2" t="s">
        <v>18</v>
      </c>
      <c r="E648" s="2">
        <v>105</v>
      </c>
      <c r="F648" s="2">
        <v>29715</v>
      </c>
      <c r="G648" s="2">
        <v>11868</v>
      </c>
      <c r="H648" s="2">
        <v>7</v>
      </c>
      <c r="I648" s="2">
        <v>55</v>
      </c>
      <c r="J648" s="2">
        <v>0</v>
      </c>
      <c r="K648" s="2">
        <v>4</v>
      </c>
      <c r="L648" s="3">
        <f t="shared" si="30"/>
        <v>0.39939424533064111</v>
      </c>
      <c r="M648" s="4">
        <f t="shared" si="31"/>
        <v>283</v>
      </c>
      <c r="N648" s="2">
        <f t="shared" si="32"/>
        <v>15</v>
      </c>
    </row>
    <row r="649" spans="1:14" x14ac:dyDescent="0.25">
      <c r="A649" s="5" t="s">
        <v>247</v>
      </c>
      <c r="B649" s="5" t="s">
        <v>245</v>
      </c>
      <c r="C649" s="5" t="s">
        <v>29</v>
      </c>
      <c r="D649" s="5" t="s">
        <v>19</v>
      </c>
      <c r="E649" s="5">
        <v>109</v>
      </c>
      <c r="F649" s="5">
        <v>26487</v>
      </c>
      <c r="G649" s="5">
        <v>10607</v>
      </c>
      <c r="H649" s="5">
        <v>4</v>
      </c>
      <c r="I649" s="5">
        <v>43</v>
      </c>
      <c r="J649" s="5">
        <v>1</v>
      </c>
      <c r="K649" s="5">
        <v>4.0999999999999996</v>
      </c>
      <c r="L649" s="6">
        <f t="shared" si="30"/>
        <v>0.40046060331483369</v>
      </c>
      <c r="M649" s="7">
        <f t="shared" si="31"/>
        <v>243</v>
      </c>
      <c r="N649" s="5">
        <f t="shared" si="32"/>
        <v>27.25</v>
      </c>
    </row>
    <row r="650" spans="1:14" x14ac:dyDescent="0.25">
      <c r="A650" s="2" t="s">
        <v>248</v>
      </c>
      <c r="B650" s="2" t="s">
        <v>245</v>
      </c>
      <c r="C650" s="2" t="s">
        <v>31</v>
      </c>
      <c r="D650" s="2" t="s">
        <v>17</v>
      </c>
      <c r="E650" s="2">
        <v>46</v>
      </c>
      <c r="F650" s="2">
        <v>11868</v>
      </c>
      <c r="G650" s="2">
        <v>4743</v>
      </c>
      <c r="H650" s="2">
        <v>5</v>
      </c>
      <c r="I650" s="2">
        <v>40</v>
      </c>
      <c r="J650" s="2">
        <v>1</v>
      </c>
      <c r="K650" s="2">
        <v>4.2</v>
      </c>
      <c r="L650" s="3">
        <f t="shared" si="30"/>
        <v>0.39964610717896865</v>
      </c>
      <c r="M650" s="4">
        <f t="shared" si="31"/>
        <v>258</v>
      </c>
      <c r="N650" s="2">
        <f t="shared" si="32"/>
        <v>9.1999999999999993</v>
      </c>
    </row>
    <row r="651" spans="1:14" x14ac:dyDescent="0.25">
      <c r="A651" s="5" t="s">
        <v>248</v>
      </c>
      <c r="B651" s="5" t="s">
        <v>245</v>
      </c>
      <c r="C651" s="5" t="s">
        <v>31</v>
      </c>
      <c r="D651" s="5" t="s">
        <v>18</v>
      </c>
      <c r="E651" s="5">
        <v>106</v>
      </c>
      <c r="F651" s="5">
        <v>36146</v>
      </c>
      <c r="G651" s="5">
        <v>14863</v>
      </c>
      <c r="H651" s="5">
        <v>9</v>
      </c>
      <c r="I651" s="5">
        <v>55</v>
      </c>
      <c r="J651" s="5">
        <v>2</v>
      </c>
      <c r="K651" s="5">
        <v>3.7</v>
      </c>
      <c r="L651" s="6">
        <f t="shared" si="30"/>
        <v>0.41119349305593977</v>
      </c>
      <c r="M651" s="7">
        <f t="shared" si="31"/>
        <v>341</v>
      </c>
      <c r="N651" s="5">
        <f t="shared" si="32"/>
        <v>11.777777777777779</v>
      </c>
    </row>
    <row r="652" spans="1:14" x14ac:dyDescent="0.25">
      <c r="A652" s="2" t="s">
        <v>248</v>
      </c>
      <c r="B652" s="2" t="s">
        <v>245</v>
      </c>
      <c r="C652" s="2" t="s">
        <v>31</v>
      </c>
      <c r="D652" s="2" t="s">
        <v>19</v>
      </c>
      <c r="E652" s="2">
        <v>92</v>
      </c>
      <c r="F652" s="2">
        <v>30544</v>
      </c>
      <c r="G652" s="2">
        <v>11816</v>
      </c>
      <c r="H652" s="2">
        <v>5</v>
      </c>
      <c r="I652" s="2">
        <v>41</v>
      </c>
      <c r="J652" s="2">
        <v>0</v>
      </c>
      <c r="K652" s="2">
        <v>4.2</v>
      </c>
      <c r="L652" s="3">
        <f t="shared" si="30"/>
        <v>0.38685175484546885</v>
      </c>
      <c r="M652" s="4">
        <f t="shared" si="31"/>
        <v>332</v>
      </c>
      <c r="N652" s="2">
        <f t="shared" si="32"/>
        <v>18.399999999999999</v>
      </c>
    </row>
    <row r="653" spans="1:14" x14ac:dyDescent="0.25">
      <c r="A653" s="5" t="s">
        <v>249</v>
      </c>
      <c r="B653" s="5" t="s">
        <v>245</v>
      </c>
      <c r="C653" s="5" t="s">
        <v>16</v>
      </c>
      <c r="D653" s="5" t="s">
        <v>17</v>
      </c>
      <c r="E653" s="5">
        <v>23</v>
      </c>
      <c r="F653" s="5">
        <v>4853</v>
      </c>
      <c r="G653" s="5">
        <v>1832</v>
      </c>
      <c r="H653" s="5">
        <v>5</v>
      </c>
      <c r="I653" s="5">
        <v>52</v>
      </c>
      <c r="J653" s="5">
        <v>2</v>
      </c>
      <c r="K653" s="5">
        <v>4.0999999999999996</v>
      </c>
      <c r="L653" s="6">
        <f t="shared" si="30"/>
        <v>0.37749845456418712</v>
      </c>
      <c r="M653" s="7">
        <f t="shared" si="31"/>
        <v>211</v>
      </c>
      <c r="N653" s="5">
        <f t="shared" si="32"/>
        <v>4.5999999999999996</v>
      </c>
    </row>
    <row r="654" spans="1:14" x14ac:dyDescent="0.25">
      <c r="A654" s="2" t="s">
        <v>249</v>
      </c>
      <c r="B654" s="2" t="s">
        <v>245</v>
      </c>
      <c r="C654" s="2" t="s">
        <v>16</v>
      </c>
      <c r="D654" s="2" t="s">
        <v>18</v>
      </c>
      <c r="E654" s="2">
        <v>67</v>
      </c>
      <c r="F654" s="2">
        <v>20234</v>
      </c>
      <c r="G654" s="2">
        <v>7968</v>
      </c>
      <c r="H654" s="2">
        <v>7</v>
      </c>
      <c r="I654" s="2">
        <v>69</v>
      </c>
      <c r="J654" s="2">
        <v>0</v>
      </c>
      <c r="K654" s="2">
        <v>4.5</v>
      </c>
      <c r="L654" s="3">
        <f t="shared" si="30"/>
        <v>0.39379262627261047</v>
      </c>
      <c r="M654" s="4">
        <f t="shared" si="31"/>
        <v>302</v>
      </c>
      <c r="N654" s="2">
        <f t="shared" si="32"/>
        <v>9.5714285714285712</v>
      </c>
    </row>
    <row r="655" spans="1:14" x14ac:dyDescent="0.25">
      <c r="A655" s="5" t="s">
        <v>249</v>
      </c>
      <c r="B655" s="5" t="s">
        <v>245</v>
      </c>
      <c r="C655" s="5" t="s">
        <v>16</v>
      </c>
      <c r="D655" s="5" t="s">
        <v>19</v>
      </c>
      <c r="E655" s="5">
        <v>46</v>
      </c>
      <c r="F655" s="5">
        <v>14720</v>
      </c>
      <c r="G655" s="5">
        <v>4700</v>
      </c>
      <c r="H655" s="5">
        <v>5</v>
      </c>
      <c r="I655" s="5">
        <v>58</v>
      </c>
      <c r="J655" s="5">
        <v>0</v>
      </c>
      <c r="K655" s="5">
        <v>3.8</v>
      </c>
      <c r="L655" s="6">
        <f t="shared" si="30"/>
        <v>0.31929347826086957</v>
      </c>
      <c r="M655" s="7">
        <f t="shared" si="31"/>
        <v>320</v>
      </c>
      <c r="N655" s="5">
        <f t="shared" si="32"/>
        <v>9.1999999999999993</v>
      </c>
    </row>
    <row r="656" spans="1:14" x14ac:dyDescent="0.25">
      <c r="A656" s="2" t="s">
        <v>250</v>
      </c>
      <c r="B656" s="2" t="s">
        <v>245</v>
      </c>
      <c r="C656" s="2" t="s">
        <v>21</v>
      </c>
      <c r="D656" s="2" t="s">
        <v>17</v>
      </c>
      <c r="E656" s="2">
        <v>37</v>
      </c>
      <c r="F656" s="2">
        <v>8658</v>
      </c>
      <c r="G656" s="2">
        <v>3498</v>
      </c>
      <c r="H656" s="2">
        <v>5</v>
      </c>
      <c r="I656" s="2">
        <v>38</v>
      </c>
      <c r="J656" s="2">
        <v>0</v>
      </c>
      <c r="K656" s="2">
        <v>4.3</v>
      </c>
      <c r="L656" s="3">
        <f t="shared" si="30"/>
        <v>0.404019404019404</v>
      </c>
      <c r="M656" s="4">
        <f t="shared" si="31"/>
        <v>234</v>
      </c>
      <c r="N656" s="2">
        <f t="shared" si="32"/>
        <v>7.4</v>
      </c>
    </row>
    <row r="657" spans="1:14" x14ac:dyDescent="0.25">
      <c r="A657" s="5" t="s">
        <v>250</v>
      </c>
      <c r="B657" s="5" t="s">
        <v>245</v>
      </c>
      <c r="C657" s="5" t="s">
        <v>21</v>
      </c>
      <c r="D657" s="5" t="s">
        <v>18</v>
      </c>
      <c r="E657" s="5">
        <v>78</v>
      </c>
      <c r="F657" s="5">
        <v>37128</v>
      </c>
      <c r="G657" s="5">
        <v>12857</v>
      </c>
      <c r="H657" s="5">
        <v>6</v>
      </c>
      <c r="I657" s="5">
        <v>47</v>
      </c>
      <c r="J657" s="5">
        <v>4</v>
      </c>
      <c r="K657" s="5">
        <v>3.8</v>
      </c>
      <c r="L657" s="6">
        <f t="shared" si="30"/>
        <v>0.34628851540616246</v>
      </c>
      <c r="M657" s="7">
        <f t="shared" si="31"/>
        <v>476</v>
      </c>
      <c r="N657" s="5">
        <f t="shared" si="32"/>
        <v>13</v>
      </c>
    </row>
    <row r="658" spans="1:14" x14ac:dyDescent="0.25">
      <c r="A658" s="2" t="s">
        <v>250</v>
      </c>
      <c r="B658" s="2" t="s">
        <v>245</v>
      </c>
      <c r="C658" s="2" t="s">
        <v>21</v>
      </c>
      <c r="D658" s="2" t="s">
        <v>19</v>
      </c>
      <c r="E658" s="2">
        <v>24</v>
      </c>
      <c r="F658" s="2">
        <v>7680</v>
      </c>
      <c r="G658" s="2">
        <v>3125</v>
      </c>
      <c r="H658" s="2">
        <v>7</v>
      </c>
      <c r="I658" s="2">
        <v>49</v>
      </c>
      <c r="J658" s="2">
        <v>0</v>
      </c>
      <c r="K658" s="2">
        <v>4.5</v>
      </c>
      <c r="L658" s="3">
        <f t="shared" si="30"/>
        <v>0.40690104166666669</v>
      </c>
      <c r="M658" s="4">
        <f t="shared" si="31"/>
        <v>320</v>
      </c>
      <c r="N658" s="2">
        <f t="shared" si="32"/>
        <v>3.4285714285714284</v>
      </c>
    </row>
    <row r="659" spans="1:14" x14ac:dyDescent="0.25">
      <c r="A659" s="5" t="s">
        <v>251</v>
      </c>
      <c r="B659" s="5" t="s">
        <v>245</v>
      </c>
      <c r="C659" s="5" t="s">
        <v>23</v>
      </c>
      <c r="D659" s="5" t="s">
        <v>17</v>
      </c>
      <c r="E659" s="5">
        <v>32</v>
      </c>
      <c r="F659" s="5">
        <v>5984</v>
      </c>
      <c r="G659" s="5">
        <v>2116</v>
      </c>
      <c r="H659" s="5">
        <v>3</v>
      </c>
      <c r="I659" s="5">
        <v>40</v>
      </c>
      <c r="J659" s="5">
        <v>1</v>
      </c>
      <c r="K659" s="5">
        <v>4.3</v>
      </c>
      <c r="L659" s="6">
        <f t="shared" si="30"/>
        <v>0.35360962566844922</v>
      </c>
      <c r="M659" s="7">
        <f t="shared" si="31"/>
        <v>187</v>
      </c>
      <c r="N659" s="5">
        <f t="shared" si="32"/>
        <v>10.666666666666666</v>
      </c>
    </row>
    <row r="660" spans="1:14" x14ac:dyDescent="0.25">
      <c r="A660" s="2" t="s">
        <v>251</v>
      </c>
      <c r="B660" s="2" t="s">
        <v>245</v>
      </c>
      <c r="C660" s="2" t="s">
        <v>23</v>
      </c>
      <c r="D660" s="2" t="s">
        <v>18</v>
      </c>
      <c r="E660" s="2">
        <v>86</v>
      </c>
      <c r="F660" s="2">
        <v>25800</v>
      </c>
      <c r="G660" s="2">
        <v>7254</v>
      </c>
      <c r="H660" s="2">
        <v>9</v>
      </c>
      <c r="I660" s="2">
        <v>65</v>
      </c>
      <c r="J660" s="2">
        <v>4</v>
      </c>
      <c r="K660" s="2">
        <v>4.2</v>
      </c>
      <c r="L660" s="3">
        <f t="shared" si="30"/>
        <v>0.28116279069767441</v>
      </c>
      <c r="M660" s="4">
        <f t="shared" si="31"/>
        <v>300</v>
      </c>
      <c r="N660" s="2">
        <f t="shared" si="32"/>
        <v>9.5555555555555554</v>
      </c>
    </row>
    <row r="661" spans="1:14" x14ac:dyDescent="0.25">
      <c r="A661" s="5" t="s">
        <v>251</v>
      </c>
      <c r="B661" s="5" t="s">
        <v>245</v>
      </c>
      <c r="C661" s="5" t="s">
        <v>23</v>
      </c>
      <c r="D661" s="5" t="s">
        <v>19</v>
      </c>
      <c r="E661" s="5">
        <v>26</v>
      </c>
      <c r="F661" s="5">
        <v>7514</v>
      </c>
      <c r="G661" s="5">
        <v>2809</v>
      </c>
      <c r="H661" s="5">
        <v>5</v>
      </c>
      <c r="I661" s="5">
        <v>49</v>
      </c>
      <c r="J661" s="5">
        <v>3</v>
      </c>
      <c r="K661" s="5">
        <v>4.4000000000000004</v>
      </c>
      <c r="L661" s="6">
        <f t="shared" si="30"/>
        <v>0.37383550705350016</v>
      </c>
      <c r="M661" s="7">
        <f t="shared" si="31"/>
        <v>289</v>
      </c>
      <c r="N661" s="5">
        <f t="shared" si="32"/>
        <v>5.2</v>
      </c>
    </row>
    <row r="662" spans="1:14" x14ac:dyDescent="0.25">
      <c r="A662" s="2" t="s">
        <v>252</v>
      </c>
      <c r="B662" s="2" t="s">
        <v>245</v>
      </c>
      <c r="C662" s="2" t="s">
        <v>25</v>
      </c>
      <c r="D662" s="2" t="s">
        <v>17</v>
      </c>
      <c r="E662" s="2">
        <v>51</v>
      </c>
      <c r="F662" s="2">
        <v>12903</v>
      </c>
      <c r="G662" s="2">
        <v>4147</v>
      </c>
      <c r="H662" s="2">
        <v>3</v>
      </c>
      <c r="I662" s="2">
        <v>51</v>
      </c>
      <c r="J662" s="2">
        <v>0</v>
      </c>
      <c r="K662" s="2">
        <v>4</v>
      </c>
      <c r="L662" s="3">
        <f t="shared" si="30"/>
        <v>0.32139812446717819</v>
      </c>
      <c r="M662" s="4">
        <f t="shared" si="31"/>
        <v>253</v>
      </c>
      <c r="N662" s="2">
        <f t="shared" si="32"/>
        <v>17</v>
      </c>
    </row>
    <row r="663" spans="1:14" x14ac:dyDescent="0.25">
      <c r="A663" s="5" t="s">
        <v>252</v>
      </c>
      <c r="B663" s="5" t="s">
        <v>245</v>
      </c>
      <c r="C663" s="5" t="s">
        <v>25</v>
      </c>
      <c r="D663" s="5" t="s">
        <v>18</v>
      </c>
      <c r="E663" s="5">
        <v>117</v>
      </c>
      <c r="F663" s="5">
        <v>39429</v>
      </c>
      <c r="G663" s="5">
        <v>13217</v>
      </c>
      <c r="H663" s="5">
        <v>9</v>
      </c>
      <c r="I663" s="5">
        <v>53</v>
      </c>
      <c r="J663" s="5">
        <v>0</v>
      </c>
      <c r="K663" s="5">
        <v>4.3</v>
      </c>
      <c r="L663" s="6">
        <f t="shared" si="30"/>
        <v>0.33521012452763194</v>
      </c>
      <c r="M663" s="7">
        <f t="shared" si="31"/>
        <v>337</v>
      </c>
      <c r="N663" s="5">
        <f t="shared" si="32"/>
        <v>13</v>
      </c>
    </row>
    <row r="664" spans="1:14" x14ac:dyDescent="0.25">
      <c r="A664" s="2" t="s">
        <v>252</v>
      </c>
      <c r="B664" s="2" t="s">
        <v>245</v>
      </c>
      <c r="C664" s="2" t="s">
        <v>25</v>
      </c>
      <c r="D664" s="2" t="s">
        <v>19</v>
      </c>
      <c r="E664" s="2">
        <v>68</v>
      </c>
      <c r="F664" s="2">
        <v>20740</v>
      </c>
      <c r="G664" s="2">
        <v>8169</v>
      </c>
      <c r="H664" s="2">
        <v>6</v>
      </c>
      <c r="I664" s="2">
        <v>52</v>
      </c>
      <c r="J664" s="2">
        <v>2</v>
      </c>
      <c r="K664" s="2">
        <v>4.0999999999999996</v>
      </c>
      <c r="L664" s="3">
        <f t="shared" si="30"/>
        <v>0.3938765670202507</v>
      </c>
      <c r="M664" s="4">
        <f t="shared" si="31"/>
        <v>305</v>
      </c>
      <c r="N664" s="2">
        <f t="shared" si="32"/>
        <v>11.333333333333334</v>
      </c>
    </row>
    <row r="665" spans="1:14" x14ac:dyDescent="0.25">
      <c r="A665" s="5" t="s">
        <v>253</v>
      </c>
      <c r="B665" s="5" t="s">
        <v>245</v>
      </c>
      <c r="C665" s="5" t="s">
        <v>27</v>
      </c>
      <c r="D665" s="5" t="s">
        <v>17</v>
      </c>
      <c r="E665" s="5">
        <v>64</v>
      </c>
      <c r="F665" s="5">
        <v>13248</v>
      </c>
      <c r="G665" s="5">
        <v>3722</v>
      </c>
      <c r="H665" s="5">
        <v>5</v>
      </c>
      <c r="I665" s="5">
        <v>38</v>
      </c>
      <c r="J665" s="5">
        <v>1</v>
      </c>
      <c r="K665" s="5">
        <v>3.9</v>
      </c>
      <c r="L665" s="6">
        <f t="shared" si="30"/>
        <v>0.28094806763285024</v>
      </c>
      <c r="M665" s="7">
        <f t="shared" si="31"/>
        <v>207</v>
      </c>
      <c r="N665" s="5">
        <f t="shared" si="32"/>
        <v>12.8</v>
      </c>
    </row>
    <row r="666" spans="1:14" x14ac:dyDescent="0.25">
      <c r="A666" s="2" t="s">
        <v>253</v>
      </c>
      <c r="B666" s="2" t="s">
        <v>245</v>
      </c>
      <c r="C666" s="2" t="s">
        <v>27</v>
      </c>
      <c r="D666" s="2" t="s">
        <v>18</v>
      </c>
      <c r="E666" s="2">
        <v>118</v>
      </c>
      <c r="F666" s="2">
        <v>52510</v>
      </c>
      <c r="G666" s="2">
        <v>17422</v>
      </c>
      <c r="H666" s="2">
        <v>8</v>
      </c>
      <c r="I666" s="2">
        <v>52</v>
      </c>
      <c r="J666" s="2">
        <v>4</v>
      </c>
      <c r="K666" s="2">
        <v>4.7</v>
      </c>
      <c r="L666" s="3">
        <f t="shared" si="30"/>
        <v>0.33178442201485431</v>
      </c>
      <c r="M666" s="4">
        <f t="shared" si="31"/>
        <v>445</v>
      </c>
      <c r="N666" s="2">
        <f t="shared" si="32"/>
        <v>14.75</v>
      </c>
    </row>
    <row r="667" spans="1:14" x14ac:dyDescent="0.25">
      <c r="A667" s="5" t="s">
        <v>253</v>
      </c>
      <c r="B667" s="5" t="s">
        <v>245</v>
      </c>
      <c r="C667" s="5" t="s">
        <v>27</v>
      </c>
      <c r="D667" s="5" t="s">
        <v>19</v>
      </c>
      <c r="E667" s="5">
        <v>76</v>
      </c>
      <c r="F667" s="5">
        <v>22724</v>
      </c>
      <c r="G667" s="5">
        <v>9109</v>
      </c>
      <c r="H667" s="5">
        <v>7</v>
      </c>
      <c r="I667" s="5">
        <v>43</v>
      </c>
      <c r="J667" s="5">
        <v>3</v>
      </c>
      <c r="K667" s="5">
        <v>4.5999999999999996</v>
      </c>
      <c r="L667" s="6">
        <f t="shared" si="30"/>
        <v>0.40085372293610277</v>
      </c>
      <c r="M667" s="7">
        <f t="shared" si="31"/>
        <v>299</v>
      </c>
      <c r="N667" s="5">
        <f t="shared" si="32"/>
        <v>10.857142857142858</v>
      </c>
    </row>
    <row r="668" spans="1:14" x14ac:dyDescent="0.25">
      <c r="A668" s="2" t="s">
        <v>254</v>
      </c>
      <c r="B668" s="2" t="s">
        <v>245</v>
      </c>
      <c r="C668" s="2" t="s">
        <v>29</v>
      </c>
      <c r="D668" s="2" t="s">
        <v>17</v>
      </c>
      <c r="E668" s="2">
        <v>40</v>
      </c>
      <c r="F668" s="2">
        <v>10400</v>
      </c>
      <c r="G668" s="2">
        <v>3732</v>
      </c>
      <c r="H668" s="2">
        <v>3</v>
      </c>
      <c r="I668" s="2">
        <v>50</v>
      </c>
      <c r="J668" s="2">
        <v>0</v>
      </c>
      <c r="K668" s="2">
        <v>4</v>
      </c>
      <c r="L668" s="3">
        <f t="shared" si="30"/>
        <v>0.35884615384615387</v>
      </c>
      <c r="M668" s="4">
        <f t="shared" si="31"/>
        <v>260</v>
      </c>
      <c r="N668" s="2">
        <f t="shared" si="32"/>
        <v>13.333333333333334</v>
      </c>
    </row>
    <row r="669" spans="1:14" x14ac:dyDescent="0.25">
      <c r="A669" s="5" t="s">
        <v>254</v>
      </c>
      <c r="B669" s="5" t="s">
        <v>245</v>
      </c>
      <c r="C669" s="5" t="s">
        <v>29</v>
      </c>
      <c r="D669" s="5" t="s">
        <v>18</v>
      </c>
      <c r="E669" s="5">
        <v>190</v>
      </c>
      <c r="F669" s="5">
        <v>78090</v>
      </c>
      <c r="G669" s="5">
        <v>23419</v>
      </c>
      <c r="H669" s="5">
        <v>8</v>
      </c>
      <c r="I669" s="5">
        <v>62</v>
      </c>
      <c r="J669" s="5">
        <v>1</v>
      </c>
      <c r="K669" s="5">
        <v>3.9</v>
      </c>
      <c r="L669" s="6">
        <f t="shared" si="30"/>
        <v>0.29989755410423868</v>
      </c>
      <c r="M669" s="7">
        <f t="shared" si="31"/>
        <v>411</v>
      </c>
      <c r="N669" s="5">
        <f t="shared" si="32"/>
        <v>23.75</v>
      </c>
    </row>
    <row r="670" spans="1:14" x14ac:dyDescent="0.25">
      <c r="A670" s="2" t="s">
        <v>254</v>
      </c>
      <c r="B670" s="2" t="s">
        <v>245</v>
      </c>
      <c r="C670" s="2" t="s">
        <v>29</v>
      </c>
      <c r="D670" s="2" t="s">
        <v>19</v>
      </c>
      <c r="E670" s="2">
        <v>100</v>
      </c>
      <c r="F670" s="2">
        <v>31600</v>
      </c>
      <c r="G670" s="2">
        <v>12677</v>
      </c>
      <c r="H670" s="2">
        <v>4</v>
      </c>
      <c r="I670" s="2">
        <v>55</v>
      </c>
      <c r="J670" s="2">
        <v>1</v>
      </c>
      <c r="K670" s="2">
        <v>3.7</v>
      </c>
      <c r="L670" s="3">
        <f t="shared" si="30"/>
        <v>0.40117088607594936</v>
      </c>
      <c r="M670" s="4">
        <f t="shared" si="31"/>
        <v>316</v>
      </c>
      <c r="N670" s="2">
        <f t="shared" si="32"/>
        <v>25</v>
      </c>
    </row>
    <row r="671" spans="1:14" x14ac:dyDescent="0.25">
      <c r="A671" s="5" t="s">
        <v>255</v>
      </c>
      <c r="B671" s="5" t="s">
        <v>245</v>
      </c>
      <c r="C671" s="5" t="s">
        <v>31</v>
      </c>
      <c r="D671" s="5" t="s">
        <v>17</v>
      </c>
      <c r="E671" s="5">
        <v>71</v>
      </c>
      <c r="F671" s="5">
        <v>14271</v>
      </c>
      <c r="G671" s="5">
        <v>5779</v>
      </c>
      <c r="H671" s="5">
        <v>4</v>
      </c>
      <c r="I671" s="5">
        <v>40</v>
      </c>
      <c r="J671" s="5">
        <v>1</v>
      </c>
      <c r="K671" s="5">
        <v>4.4000000000000004</v>
      </c>
      <c r="L671" s="6">
        <f t="shared" si="30"/>
        <v>0.4049470955083736</v>
      </c>
      <c r="M671" s="7">
        <f t="shared" si="31"/>
        <v>201</v>
      </c>
      <c r="N671" s="5">
        <f t="shared" si="32"/>
        <v>17.75</v>
      </c>
    </row>
    <row r="672" spans="1:14" x14ac:dyDescent="0.25">
      <c r="A672" s="2" t="s">
        <v>255</v>
      </c>
      <c r="B672" s="2" t="s">
        <v>245</v>
      </c>
      <c r="C672" s="2" t="s">
        <v>31</v>
      </c>
      <c r="D672" s="2" t="s">
        <v>18</v>
      </c>
      <c r="E672" s="2">
        <v>139</v>
      </c>
      <c r="F672" s="2">
        <v>51152</v>
      </c>
      <c r="G672" s="2">
        <v>19628</v>
      </c>
      <c r="H672" s="2">
        <v>6</v>
      </c>
      <c r="I672" s="2">
        <v>66</v>
      </c>
      <c r="J672" s="2">
        <v>1</v>
      </c>
      <c r="K672" s="2">
        <v>3.6</v>
      </c>
      <c r="L672" s="3">
        <f t="shared" si="30"/>
        <v>0.38371911166718797</v>
      </c>
      <c r="M672" s="4">
        <f t="shared" si="31"/>
        <v>368</v>
      </c>
      <c r="N672" s="2">
        <f t="shared" si="32"/>
        <v>23.166666666666668</v>
      </c>
    </row>
    <row r="673" spans="1:14" x14ac:dyDescent="0.25">
      <c r="A673" s="5" t="s">
        <v>255</v>
      </c>
      <c r="B673" s="5" t="s">
        <v>245</v>
      </c>
      <c r="C673" s="5" t="s">
        <v>31</v>
      </c>
      <c r="D673" s="5" t="s">
        <v>19</v>
      </c>
      <c r="E673" s="5">
        <v>50</v>
      </c>
      <c r="F673" s="5">
        <v>14900</v>
      </c>
      <c r="G673" s="5">
        <v>5547</v>
      </c>
      <c r="H673" s="5">
        <v>4</v>
      </c>
      <c r="I673" s="5">
        <v>46</v>
      </c>
      <c r="J673" s="5">
        <v>3</v>
      </c>
      <c r="K673" s="5">
        <v>4.4000000000000004</v>
      </c>
      <c r="L673" s="6">
        <f t="shared" si="30"/>
        <v>0.37228187919463085</v>
      </c>
      <c r="M673" s="7">
        <f t="shared" si="31"/>
        <v>298</v>
      </c>
      <c r="N673" s="5">
        <f t="shared" si="32"/>
        <v>12.5</v>
      </c>
    </row>
    <row r="674" spans="1:14" x14ac:dyDescent="0.25">
      <c r="A674" s="2" t="s">
        <v>256</v>
      </c>
      <c r="B674" s="2" t="s">
        <v>245</v>
      </c>
      <c r="C674" s="2" t="s">
        <v>16</v>
      </c>
      <c r="D674" s="2" t="s">
        <v>17</v>
      </c>
      <c r="E674" s="2">
        <v>38</v>
      </c>
      <c r="F674" s="2">
        <v>9082</v>
      </c>
      <c r="G674" s="2">
        <v>2641</v>
      </c>
      <c r="H674" s="2">
        <v>5</v>
      </c>
      <c r="I674" s="2">
        <v>37</v>
      </c>
      <c r="J674" s="2">
        <v>0</v>
      </c>
      <c r="K674" s="2">
        <v>3.9</v>
      </c>
      <c r="L674" s="3">
        <f t="shared" si="30"/>
        <v>0.29079497907949792</v>
      </c>
      <c r="M674" s="4">
        <f t="shared" si="31"/>
        <v>239</v>
      </c>
      <c r="N674" s="2">
        <f t="shared" si="32"/>
        <v>7.6</v>
      </c>
    </row>
    <row r="675" spans="1:14" x14ac:dyDescent="0.25">
      <c r="A675" s="5" t="s">
        <v>256</v>
      </c>
      <c r="B675" s="5" t="s">
        <v>245</v>
      </c>
      <c r="C675" s="5" t="s">
        <v>16</v>
      </c>
      <c r="D675" s="5" t="s">
        <v>18</v>
      </c>
      <c r="E675" s="5">
        <v>90</v>
      </c>
      <c r="F675" s="5">
        <v>33120</v>
      </c>
      <c r="G675" s="5">
        <v>11631</v>
      </c>
      <c r="H675" s="5">
        <v>10</v>
      </c>
      <c r="I675" s="5">
        <v>61</v>
      </c>
      <c r="J675" s="5">
        <v>3</v>
      </c>
      <c r="K675" s="5">
        <v>3.6</v>
      </c>
      <c r="L675" s="6">
        <f t="shared" si="30"/>
        <v>0.35117753623188408</v>
      </c>
      <c r="M675" s="7">
        <f t="shared" si="31"/>
        <v>368</v>
      </c>
      <c r="N675" s="5">
        <f t="shared" si="32"/>
        <v>9</v>
      </c>
    </row>
    <row r="676" spans="1:14" x14ac:dyDescent="0.25">
      <c r="A676" s="2" t="s">
        <v>256</v>
      </c>
      <c r="B676" s="2" t="s">
        <v>245</v>
      </c>
      <c r="C676" s="2" t="s">
        <v>16</v>
      </c>
      <c r="D676" s="2" t="s">
        <v>19</v>
      </c>
      <c r="E676" s="2">
        <v>29</v>
      </c>
      <c r="F676" s="2">
        <v>7569</v>
      </c>
      <c r="G676" s="2">
        <v>2850</v>
      </c>
      <c r="H676" s="2">
        <v>4</v>
      </c>
      <c r="I676" s="2">
        <v>50</v>
      </c>
      <c r="J676" s="2">
        <v>2</v>
      </c>
      <c r="K676" s="2">
        <v>3.9</v>
      </c>
      <c r="L676" s="3">
        <f t="shared" si="30"/>
        <v>0.37653586999603644</v>
      </c>
      <c r="M676" s="4">
        <f t="shared" si="31"/>
        <v>261</v>
      </c>
      <c r="N676" s="2">
        <f t="shared" si="32"/>
        <v>7.25</v>
      </c>
    </row>
    <row r="677" spans="1:14" x14ac:dyDescent="0.25">
      <c r="A677" s="5" t="s">
        <v>257</v>
      </c>
      <c r="B677" s="5" t="s">
        <v>245</v>
      </c>
      <c r="C677" s="5" t="s">
        <v>21</v>
      </c>
      <c r="D677" s="5" t="s">
        <v>17</v>
      </c>
      <c r="E677" s="5">
        <v>39</v>
      </c>
      <c r="F677" s="5">
        <v>7254</v>
      </c>
      <c r="G677" s="5">
        <v>2814</v>
      </c>
      <c r="H677" s="5">
        <v>4</v>
      </c>
      <c r="I677" s="5">
        <v>44</v>
      </c>
      <c r="J677" s="5">
        <v>1</v>
      </c>
      <c r="K677" s="5">
        <v>4.2</v>
      </c>
      <c r="L677" s="6">
        <f t="shared" si="30"/>
        <v>0.38792390405293631</v>
      </c>
      <c r="M677" s="7">
        <f t="shared" si="31"/>
        <v>186</v>
      </c>
      <c r="N677" s="5">
        <f t="shared" si="32"/>
        <v>9.75</v>
      </c>
    </row>
    <row r="678" spans="1:14" x14ac:dyDescent="0.25">
      <c r="A678" s="2" t="s">
        <v>257</v>
      </c>
      <c r="B678" s="2" t="s">
        <v>245</v>
      </c>
      <c r="C678" s="2" t="s">
        <v>21</v>
      </c>
      <c r="D678" s="2" t="s">
        <v>18</v>
      </c>
      <c r="E678" s="2">
        <v>107</v>
      </c>
      <c r="F678" s="2">
        <v>35631</v>
      </c>
      <c r="G678" s="2">
        <v>11060</v>
      </c>
      <c r="H678" s="2">
        <v>9</v>
      </c>
      <c r="I678" s="2">
        <v>57</v>
      </c>
      <c r="J678" s="2">
        <v>2</v>
      </c>
      <c r="K678" s="2">
        <v>4.2</v>
      </c>
      <c r="L678" s="3">
        <f t="shared" si="30"/>
        <v>0.31040386180573099</v>
      </c>
      <c r="M678" s="4">
        <f t="shared" si="31"/>
        <v>333</v>
      </c>
      <c r="N678" s="2">
        <f t="shared" si="32"/>
        <v>11.888888888888889</v>
      </c>
    </row>
    <row r="679" spans="1:14" x14ac:dyDescent="0.25">
      <c r="A679" s="5" t="s">
        <v>257</v>
      </c>
      <c r="B679" s="5" t="s">
        <v>245</v>
      </c>
      <c r="C679" s="5" t="s">
        <v>21</v>
      </c>
      <c r="D679" s="5" t="s">
        <v>19</v>
      </c>
      <c r="E679" s="5">
        <v>42</v>
      </c>
      <c r="F679" s="5">
        <v>11634</v>
      </c>
      <c r="G679" s="5">
        <v>3966</v>
      </c>
      <c r="H679" s="5">
        <v>4</v>
      </c>
      <c r="I679" s="5">
        <v>45</v>
      </c>
      <c r="J679" s="5">
        <v>0</v>
      </c>
      <c r="K679" s="5">
        <v>4.5</v>
      </c>
      <c r="L679" s="6">
        <f t="shared" si="30"/>
        <v>0.3408973697782362</v>
      </c>
      <c r="M679" s="7">
        <f t="shared" si="31"/>
        <v>277</v>
      </c>
      <c r="N679" s="5">
        <f t="shared" si="32"/>
        <v>10.5</v>
      </c>
    </row>
    <row r="680" spans="1:14" x14ac:dyDescent="0.25">
      <c r="A680" s="2" t="s">
        <v>258</v>
      </c>
      <c r="B680" s="2" t="s">
        <v>245</v>
      </c>
      <c r="C680" s="2" t="s">
        <v>23</v>
      </c>
      <c r="D680" s="2" t="s">
        <v>17</v>
      </c>
      <c r="E680" s="2">
        <v>36</v>
      </c>
      <c r="F680" s="2">
        <v>7848</v>
      </c>
      <c r="G680" s="2">
        <v>2817</v>
      </c>
      <c r="H680" s="2">
        <v>3</v>
      </c>
      <c r="I680" s="2">
        <v>38</v>
      </c>
      <c r="J680" s="2">
        <v>0</v>
      </c>
      <c r="K680" s="2">
        <v>4.2</v>
      </c>
      <c r="L680" s="3">
        <f t="shared" si="30"/>
        <v>0.35894495412844035</v>
      </c>
      <c r="M680" s="4">
        <f t="shared" si="31"/>
        <v>218</v>
      </c>
      <c r="N680" s="2">
        <f t="shared" si="32"/>
        <v>12</v>
      </c>
    </row>
    <row r="681" spans="1:14" x14ac:dyDescent="0.25">
      <c r="A681" s="5" t="s">
        <v>258</v>
      </c>
      <c r="B681" s="5" t="s">
        <v>245</v>
      </c>
      <c r="C681" s="5" t="s">
        <v>23</v>
      </c>
      <c r="D681" s="5" t="s">
        <v>18</v>
      </c>
      <c r="E681" s="5">
        <v>115</v>
      </c>
      <c r="F681" s="5">
        <v>43355</v>
      </c>
      <c r="G681" s="5">
        <v>14850</v>
      </c>
      <c r="H681" s="5">
        <v>10</v>
      </c>
      <c r="I681" s="5">
        <v>54</v>
      </c>
      <c r="J681" s="5">
        <v>3</v>
      </c>
      <c r="K681" s="5">
        <v>4.7</v>
      </c>
      <c r="L681" s="6">
        <f t="shared" si="30"/>
        <v>0.34252104716872334</v>
      </c>
      <c r="M681" s="7">
        <f t="shared" si="31"/>
        <v>377</v>
      </c>
      <c r="N681" s="5">
        <f t="shared" si="32"/>
        <v>11.5</v>
      </c>
    </row>
    <row r="682" spans="1:14" x14ac:dyDescent="0.25">
      <c r="A682" s="2" t="s">
        <v>258</v>
      </c>
      <c r="B682" s="2" t="s">
        <v>245</v>
      </c>
      <c r="C682" s="2" t="s">
        <v>23</v>
      </c>
      <c r="D682" s="2" t="s">
        <v>19</v>
      </c>
      <c r="E682" s="2">
        <v>45</v>
      </c>
      <c r="F682" s="2">
        <v>12960</v>
      </c>
      <c r="G682" s="2">
        <v>3747</v>
      </c>
      <c r="H682" s="2">
        <v>5</v>
      </c>
      <c r="I682" s="2">
        <v>47</v>
      </c>
      <c r="J682" s="2">
        <v>1</v>
      </c>
      <c r="K682" s="2">
        <v>4</v>
      </c>
      <c r="L682" s="3">
        <f t="shared" si="30"/>
        <v>0.28912037037037036</v>
      </c>
      <c r="M682" s="4">
        <f t="shared" si="31"/>
        <v>288</v>
      </c>
      <c r="N682" s="2">
        <f t="shared" si="32"/>
        <v>9</v>
      </c>
    </row>
    <row r="683" spans="1:14" x14ac:dyDescent="0.25">
      <c r="A683" s="5" t="s">
        <v>259</v>
      </c>
      <c r="B683" s="5" t="s">
        <v>245</v>
      </c>
      <c r="C683" s="5" t="s">
        <v>25</v>
      </c>
      <c r="D683" s="5" t="s">
        <v>17</v>
      </c>
      <c r="E683" s="5">
        <v>28</v>
      </c>
      <c r="F683" s="5">
        <v>5180</v>
      </c>
      <c r="G683" s="5">
        <v>2124</v>
      </c>
      <c r="H683" s="5">
        <v>4</v>
      </c>
      <c r="I683" s="5">
        <v>36</v>
      </c>
      <c r="J683" s="5">
        <v>0</v>
      </c>
      <c r="K683" s="5">
        <v>4.5</v>
      </c>
      <c r="L683" s="6">
        <f t="shared" si="30"/>
        <v>0.41003861003861003</v>
      </c>
      <c r="M683" s="7">
        <f t="shared" si="31"/>
        <v>185</v>
      </c>
      <c r="N683" s="5">
        <f t="shared" si="32"/>
        <v>7</v>
      </c>
    </row>
    <row r="684" spans="1:14" x14ac:dyDescent="0.25">
      <c r="A684" s="2" t="s">
        <v>259</v>
      </c>
      <c r="B684" s="2" t="s">
        <v>245</v>
      </c>
      <c r="C684" s="2" t="s">
        <v>25</v>
      </c>
      <c r="D684" s="2" t="s">
        <v>18</v>
      </c>
      <c r="E684" s="2">
        <v>85</v>
      </c>
      <c r="F684" s="2">
        <v>34935</v>
      </c>
      <c r="G684" s="2">
        <v>13479</v>
      </c>
      <c r="H684" s="2">
        <v>8</v>
      </c>
      <c r="I684" s="2">
        <v>74</v>
      </c>
      <c r="J684" s="2">
        <v>0</v>
      </c>
      <c r="K684" s="2">
        <v>3.7</v>
      </c>
      <c r="L684" s="3">
        <f t="shared" si="30"/>
        <v>0.38583082868183771</v>
      </c>
      <c r="M684" s="4">
        <f t="shared" si="31"/>
        <v>411</v>
      </c>
      <c r="N684" s="2">
        <f t="shared" si="32"/>
        <v>10.625</v>
      </c>
    </row>
    <row r="685" spans="1:14" x14ac:dyDescent="0.25">
      <c r="A685" s="5" t="s">
        <v>259</v>
      </c>
      <c r="B685" s="5" t="s">
        <v>245</v>
      </c>
      <c r="C685" s="5" t="s">
        <v>25</v>
      </c>
      <c r="D685" s="5" t="s">
        <v>19</v>
      </c>
      <c r="E685" s="5">
        <v>51</v>
      </c>
      <c r="F685" s="5">
        <v>17289</v>
      </c>
      <c r="G685" s="5">
        <v>7249</v>
      </c>
      <c r="H685" s="5">
        <v>4</v>
      </c>
      <c r="I685" s="5">
        <v>63</v>
      </c>
      <c r="J685" s="5">
        <v>1</v>
      </c>
      <c r="K685" s="5">
        <v>3.7</v>
      </c>
      <c r="L685" s="6">
        <f t="shared" si="30"/>
        <v>0.41928393776389611</v>
      </c>
      <c r="M685" s="7">
        <f t="shared" si="31"/>
        <v>339</v>
      </c>
      <c r="N685" s="5">
        <f t="shared" si="32"/>
        <v>12.75</v>
      </c>
    </row>
    <row r="686" spans="1:14" x14ac:dyDescent="0.25">
      <c r="A686" s="2" t="s">
        <v>260</v>
      </c>
      <c r="B686" s="2" t="s">
        <v>245</v>
      </c>
      <c r="C686" s="2" t="s">
        <v>27</v>
      </c>
      <c r="D686" s="2" t="s">
        <v>17</v>
      </c>
      <c r="E686" s="2">
        <v>50</v>
      </c>
      <c r="F686" s="2">
        <v>13450</v>
      </c>
      <c r="G686" s="2">
        <v>5105</v>
      </c>
      <c r="H686" s="2">
        <v>5</v>
      </c>
      <c r="I686" s="2">
        <v>55</v>
      </c>
      <c r="J686" s="2">
        <v>0</v>
      </c>
      <c r="K686" s="2">
        <v>4.0999999999999996</v>
      </c>
      <c r="L686" s="3">
        <f t="shared" si="30"/>
        <v>0.37955390334572492</v>
      </c>
      <c r="M686" s="4">
        <f t="shared" si="31"/>
        <v>269</v>
      </c>
      <c r="N686" s="2">
        <f t="shared" si="32"/>
        <v>10</v>
      </c>
    </row>
    <row r="687" spans="1:14" x14ac:dyDescent="0.25">
      <c r="A687" s="5" t="s">
        <v>260</v>
      </c>
      <c r="B687" s="5" t="s">
        <v>245</v>
      </c>
      <c r="C687" s="5" t="s">
        <v>27</v>
      </c>
      <c r="D687" s="5" t="s">
        <v>18</v>
      </c>
      <c r="E687" s="5">
        <v>178</v>
      </c>
      <c r="F687" s="5">
        <v>70132</v>
      </c>
      <c r="G687" s="5">
        <v>25270</v>
      </c>
      <c r="H687" s="5">
        <v>8</v>
      </c>
      <c r="I687" s="5">
        <v>67</v>
      </c>
      <c r="J687" s="5">
        <v>0</v>
      </c>
      <c r="K687" s="5">
        <v>4.4000000000000004</v>
      </c>
      <c r="L687" s="6">
        <f t="shared" si="30"/>
        <v>0.36032053841327782</v>
      </c>
      <c r="M687" s="7">
        <f t="shared" si="31"/>
        <v>394</v>
      </c>
      <c r="N687" s="5">
        <f t="shared" si="32"/>
        <v>22.25</v>
      </c>
    </row>
    <row r="688" spans="1:14" x14ac:dyDescent="0.25">
      <c r="A688" s="2" t="s">
        <v>260</v>
      </c>
      <c r="B688" s="2" t="s">
        <v>245</v>
      </c>
      <c r="C688" s="2" t="s">
        <v>27</v>
      </c>
      <c r="D688" s="2" t="s">
        <v>19</v>
      </c>
      <c r="E688" s="2">
        <v>86</v>
      </c>
      <c r="F688" s="2">
        <v>21414</v>
      </c>
      <c r="G688" s="2">
        <v>7942</v>
      </c>
      <c r="H688" s="2">
        <v>6</v>
      </c>
      <c r="I688" s="2">
        <v>49</v>
      </c>
      <c r="J688" s="2">
        <v>2</v>
      </c>
      <c r="K688" s="2">
        <v>3.7</v>
      </c>
      <c r="L688" s="3">
        <f t="shared" si="30"/>
        <v>0.37087886429438682</v>
      </c>
      <c r="M688" s="4">
        <f t="shared" si="31"/>
        <v>249</v>
      </c>
      <c r="N688" s="2">
        <f t="shared" si="32"/>
        <v>14.333333333333334</v>
      </c>
    </row>
    <row r="689" spans="1:14" x14ac:dyDescent="0.25">
      <c r="A689" s="5" t="s">
        <v>261</v>
      </c>
      <c r="B689" s="5" t="s">
        <v>245</v>
      </c>
      <c r="C689" s="5" t="s">
        <v>29</v>
      </c>
      <c r="D689" s="5" t="s">
        <v>17</v>
      </c>
      <c r="E689" s="5">
        <v>68</v>
      </c>
      <c r="F689" s="5">
        <v>13328</v>
      </c>
      <c r="G689" s="5">
        <v>5568</v>
      </c>
      <c r="H689" s="5">
        <v>5</v>
      </c>
      <c r="I689" s="5">
        <v>42</v>
      </c>
      <c r="J689" s="5">
        <v>1</v>
      </c>
      <c r="K689" s="5">
        <v>4.2</v>
      </c>
      <c r="L689" s="6">
        <f t="shared" si="30"/>
        <v>0.4177671068427371</v>
      </c>
      <c r="M689" s="7">
        <f t="shared" si="31"/>
        <v>196</v>
      </c>
      <c r="N689" s="5">
        <f t="shared" si="32"/>
        <v>13.6</v>
      </c>
    </row>
    <row r="690" spans="1:14" x14ac:dyDescent="0.25">
      <c r="A690" s="2" t="s">
        <v>261</v>
      </c>
      <c r="B690" s="2" t="s">
        <v>245</v>
      </c>
      <c r="C690" s="2" t="s">
        <v>29</v>
      </c>
      <c r="D690" s="2" t="s">
        <v>18</v>
      </c>
      <c r="E690" s="2">
        <v>135</v>
      </c>
      <c r="F690" s="2">
        <v>46440</v>
      </c>
      <c r="G690" s="2">
        <v>15864</v>
      </c>
      <c r="H690" s="2">
        <v>9</v>
      </c>
      <c r="I690" s="2">
        <v>45</v>
      </c>
      <c r="J690" s="2">
        <v>2</v>
      </c>
      <c r="K690" s="2">
        <v>4.7</v>
      </c>
      <c r="L690" s="3">
        <f t="shared" si="30"/>
        <v>0.34160206718346253</v>
      </c>
      <c r="M690" s="4">
        <f t="shared" si="31"/>
        <v>344</v>
      </c>
      <c r="N690" s="2">
        <f t="shared" si="32"/>
        <v>15</v>
      </c>
    </row>
    <row r="691" spans="1:14" x14ac:dyDescent="0.25">
      <c r="A691" s="5" t="s">
        <v>261</v>
      </c>
      <c r="B691" s="5" t="s">
        <v>245</v>
      </c>
      <c r="C691" s="5" t="s">
        <v>29</v>
      </c>
      <c r="D691" s="5" t="s">
        <v>19</v>
      </c>
      <c r="E691" s="5">
        <v>109</v>
      </c>
      <c r="F691" s="5">
        <v>30738</v>
      </c>
      <c r="G691" s="5">
        <v>10921</v>
      </c>
      <c r="H691" s="5">
        <v>7</v>
      </c>
      <c r="I691" s="5">
        <v>46</v>
      </c>
      <c r="J691" s="5">
        <v>3</v>
      </c>
      <c r="K691" s="5">
        <v>4.4000000000000004</v>
      </c>
      <c r="L691" s="6">
        <f t="shared" si="30"/>
        <v>0.35529312251935713</v>
      </c>
      <c r="M691" s="7">
        <f t="shared" si="31"/>
        <v>282</v>
      </c>
      <c r="N691" s="5">
        <f t="shared" si="32"/>
        <v>15.571428571428571</v>
      </c>
    </row>
    <row r="692" spans="1:14" x14ac:dyDescent="0.25">
      <c r="A692" s="2" t="s">
        <v>262</v>
      </c>
      <c r="B692" s="2" t="s">
        <v>245</v>
      </c>
      <c r="C692" s="2" t="s">
        <v>31</v>
      </c>
      <c r="D692" s="2" t="s">
        <v>17</v>
      </c>
      <c r="E692" s="2">
        <v>67</v>
      </c>
      <c r="F692" s="2">
        <v>13601</v>
      </c>
      <c r="G692" s="2">
        <v>4895</v>
      </c>
      <c r="H692" s="2">
        <v>3</v>
      </c>
      <c r="I692" s="2">
        <v>55</v>
      </c>
      <c r="J692" s="2">
        <v>2</v>
      </c>
      <c r="K692" s="2">
        <v>4.3</v>
      </c>
      <c r="L692" s="3">
        <f t="shared" si="30"/>
        <v>0.35990000735240057</v>
      </c>
      <c r="M692" s="4">
        <f t="shared" si="31"/>
        <v>203</v>
      </c>
      <c r="N692" s="2">
        <f t="shared" si="32"/>
        <v>22.333333333333332</v>
      </c>
    </row>
    <row r="693" spans="1:14" x14ac:dyDescent="0.25">
      <c r="A693" s="5" t="s">
        <v>262</v>
      </c>
      <c r="B693" s="5" t="s">
        <v>245</v>
      </c>
      <c r="C693" s="5" t="s">
        <v>31</v>
      </c>
      <c r="D693" s="5" t="s">
        <v>18</v>
      </c>
      <c r="E693" s="5">
        <v>85</v>
      </c>
      <c r="F693" s="5">
        <v>39100</v>
      </c>
      <c r="G693" s="5">
        <v>15937</v>
      </c>
      <c r="H693" s="5">
        <v>6</v>
      </c>
      <c r="I693" s="5">
        <v>48</v>
      </c>
      <c r="J693" s="5">
        <v>2</v>
      </c>
      <c r="K693" s="5">
        <v>4.3</v>
      </c>
      <c r="L693" s="6">
        <f t="shared" si="30"/>
        <v>0.40759590792838873</v>
      </c>
      <c r="M693" s="7">
        <f t="shared" si="31"/>
        <v>460</v>
      </c>
      <c r="N693" s="5">
        <f t="shared" si="32"/>
        <v>14.166666666666666</v>
      </c>
    </row>
    <row r="694" spans="1:14" x14ac:dyDescent="0.25">
      <c r="A694" s="2" t="s">
        <v>262</v>
      </c>
      <c r="B694" s="2" t="s">
        <v>245</v>
      </c>
      <c r="C694" s="2" t="s">
        <v>31</v>
      </c>
      <c r="D694" s="2" t="s">
        <v>19</v>
      </c>
      <c r="E694" s="2">
        <v>88</v>
      </c>
      <c r="F694" s="2">
        <v>28248</v>
      </c>
      <c r="G694" s="2">
        <v>11020</v>
      </c>
      <c r="H694" s="2">
        <v>7</v>
      </c>
      <c r="I694" s="2">
        <v>60</v>
      </c>
      <c r="J694" s="2">
        <v>1</v>
      </c>
      <c r="K694" s="2">
        <v>3.7</v>
      </c>
      <c r="L694" s="3">
        <f t="shared" si="30"/>
        <v>0.39011611441517985</v>
      </c>
      <c r="M694" s="4">
        <f t="shared" si="31"/>
        <v>321</v>
      </c>
      <c r="N694" s="2">
        <f t="shared" si="32"/>
        <v>12.571428571428571</v>
      </c>
    </row>
    <row r="695" spans="1:14" x14ac:dyDescent="0.25">
      <c r="A695" s="5" t="s">
        <v>263</v>
      </c>
      <c r="B695" s="5" t="s">
        <v>245</v>
      </c>
      <c r="C695" s="5" t="s">
        <v>16</v>
      </c>
      <c r="D695" s="5" t="s">
        <v>17</v>
      </c>
      <c r="E695" s="5">
        <v>21</v>
      </c>
      <c r="F695" s="5">
        <v>5649</v>
      </c>
      <c r="G695" s="5">
        <v>2184</v>
      </c>
      <c r="H695" s="5">
        <v>3</v>
      </c>
      <c r="I695" s="5">
        <v>40</v>
      </c>
      <c r="J695" s="5">
        <v>1</v>
      </c>
      <c r="K695" s="5">
        <v>4</v>
      </c>
      <c r="L695" s="6">
        <f t="shared" si="30"/>
        <v>0.38661710037174724</v>
      </c>
      <c r="M695" s="7">
        <f t="shared" si="31"/>
        <v>269</v>
      </c>
      <c r="N695" s="5">
        <f t="shared" si="32"/>
        <v>7</v>
      </c>
    </row>
    <row r="696" spans="1:14" x14ac:dyDescent="0.25">
      <c r="A696" s="2" t="s">
        <v>263</v>
      </c>
      <c r="B696" s="2" t="s">
        <v>245</v>
      </c>
      <c r="C696" s="2" t="s">
        <v>16</v>
      </c>
      <c r="D696" s="2" t="s">
        <v>18</v>
      </c>
      <c r="E696" s="2">
        <v>62</v>
      </c>
      <c r="F696" s="2">
        <v>26660</v>
      </c>
      <c r="G696" s="2">
        <v>8437</v>
      </c>
      <c r="H696" s="2">
        <v>6</v>
      </c>
      <c r="I696" s="2">
        <v>61</v>
      </c>
      <c r="J696" s="2">
        <v>4</v>
      </c>
      <c r="K696" s="2">
        <v>3.6</v>
      </c>
      <c r="L696" s="3">
        <f t="shared" si="30"/>
        <v>0.31646661665416354</v>
      </c>
      <c r="M696" s="4">
        <f t="shared" si="31"/>
        <v>430</v>
      </c>
      <c r="N696" s="2">
        <f t="shared" si="32"/>
        <v>10.333333333333334</v>
      </c>
    </row>
    <row r="697" spans="1:14" x14ac:dyDescent="0.25">
      <c r="A697" s="5" t="s">
        <v>263</v>
      </c>
      <c r="B697" s="5" t="s">
        <v>245</v>
      </c>
      <c r="C697" s="5" t="s">
        <v>16</v>
      </c>
      <c r="D697" s="5" t="s">
        <v>19</v>
      </c>
      <c r="E697" s="5">
        <v>44</v>
      </c>
      <c r="F697" s="5">
        <v>11880</v>
      </c>
      <c r="G697" s="5">
        <v>3943</v>
      </c>
      <c r="H697" s="5">
        <v>7</v>
      </c>
      <c r="I697" s="5">
        <v>63</v>
      </c>
      <c r="J697" s="5">
        <v>1</v>
      </c>
      <c r="K697" s="5">
        <v>3.8</v>
      </c>
      <c r="L697" s="6">
        <f t="shared" si="30"/>
        <v>0.33190235690235692</v>
      </c>
      <c r="M697" s="7">
        <f t="shared" si="31"/>
        <v>270</v>
      </c>
      <c r="N697" s="5">
        <f t="shared" si="32"/>
        <v>6.2857142857142856</v>
      </c>
    </row>
    <row r="698" spans="1:14" x14ac:dyDescent="0.25">
      <c r="A698" s="2" t="s">
        <v>264</v>
      </c>
      <c r="B698" s="2" t="s">
        <v>245</v>
      </c>
      <c r="C698" s="2" t="s">
        <v>21</v>
      </c>
      <c r="D698" s="2" t="s">
        <v>17</v>
      </c>
      <c r="E698" s="2">
        <v>29</v>
      </c>
      <c r="F698" s="2">
        <v>6409</v>
      </c>
      <c r="G698" s="2">
        <v>2352</v>
      </c>
      <c r="H698" s="2">
        <v>4</v>
      </c>
      <c r="I698" s="2">
        <v>51</v>
      </c>
      <c r="J698" s="2">
        <v>1</v>
      </c>
      <c r="K698" s="2">
        <v>3.8</v>
      </c>
      <c r="L698" s="3">
        <f t="shared" si="30"/>
        <v>0.3669839288500546</v>
      </c>
      <c r="M698" s="4">
        <f t="shared" si="31"/>
        <v>221</v>
      </c>
      <c r="N698" s="2">
        <f t="shared" si="32"/>
        <v>7.25</v>
      </c>
    </row>
    <row r="699" spans="1:14" x14ac:dyDescent="0.25">
      <c r="A699" s="5" t="s">
        <v>264</v>
      </c>
      <c r="B699" s="5" t="s">
        <v>245</v>
      </c>
      <c r="C699" s="5" t="s">
        <v>21</v>
      </c>
      <c r="D699" s="5" t="s">
        <v>18</v>
      </c>
      <c r="E699" s="5">
        <v>93</v>
      </c>
      <c r="F699" s="5">
        <v>36735</v>
      </c>
      <c r="G699" s="5">
        <v>11467</v>
      </c>
      <c r="H699" s="5">
        <v>7</v>
      </c>
      <c r="I699" s="5">
        <v>63</v>
      </c>
      <c r="J699" s="5">
        <v>4</v>
      </c>
      <c r="K699" s="5">
        <v>4.7</v>
      </c>
      <c r="L699" s="6">
        <f t="shared" si="30"/>
        <v>0.31215462093371443</v>
      </c>
      <c r="M699" s="7">
        <f t="shared" si="31"/>
        <v>395</v>
      </c>
      <c r="N699" s="5">
        <f t="shared" si="32"/>
        <v>13.285714285714286</v>
      </c>
    </row>
    <row r="700" spans="1:14" x14ac:dyDescent="0.25">
      <c r="A700" s="2" t="s">
        <v>264</v>
      </c>
      <c r="B700" s="2" t="s">
        <v>245</v>
      </c>
      <c r="C700" s="2" t="s">
        <v>21</v>
      </c>
      <c r="D700" s="2" t="s">
        <v>19</v>
      </c>
      <c r="E700" s="2">
        <v>29</v>
      </c>
      <c r="F700" s="2">
        <v>9251</v>
      </c>
      <c r="G700" s="2">
        <v>3707</v>
      </c>
      <c r="H700" s="2">
        <v>5</v>
      </c>
      <c r="I700" s="2">
        <v>46</v>
      </c>
      <c r="J700" s="2">
        <v>1</v>
      </c>
      <c r="K700" s="2">
        <v>3.8</v>
      </c>
      <c r="L700" s="3">
        <f t="shared" si="30"/>
        <v>0.40071343638525564</v>
      </c>
      <c r="M700" s="4">
        <f t="shared" si="31"/>
        <v>319</v>
      </c>
      <c r="N700" s="2">
        <f t="shared" si="32"/>
        <v>5.8</v>
      </c>
    </row>
    <row r="701" spans="1:14" x14ac:dyDescent="0.25">
      <c r="A701" s="5" t="s">
        <v>265</v>
      </c>
      <c r="B701" s="5" t="s">
        <v>245</v>
      </c>
      <c r="C701" s="5" t="s">
        <v>23</v>
      </c>
      <c r="D701" s="5" t="s">
        <v>17</v>
      </c>
      <c r="E701" s="5">
        <v>45</v>
      </c>
      <c r="F701" s="5">
        <v>10800</v>
      </c>
      <c r="G701" s="5">
        <v>4535</v>
      </c>
      <c r="H701" s="5">
        <v>4</v>
      </c>
      <c r="I701" s="5">
        <v>50</v>
      </c>
      <c r="J701" s="5">
        <v>2</v>
      </c>
      <c r="K701" s="5">
        <v>4.0999999999999996</v>
      </c>
      <c r="L701" s="6">
        <f t="shared" si="30"/>
        <v>0.4199074074074074</v>
      </c>
      <c r="M701" s="7">
        <f t="shared" si="31"/>
        <v>240</v>
      </c>
      <c r="N701" s="5">
        <f t="shared" si="32"/>
        <v>11.25</v>
      </c>
    </row>
    <row r="702" spans="1:14" x14ac:dyDescent="0.25">
      <c r="A702" s="2" t="s">
        <v>265</v>
      </c>
      <c r="B702" s="2" t="s">
        <v>245</v>
      </c>
      <c r="C702" s="2" t="s">
        <v>23</v>
      </c>
      <c r="D702" s="2" t="s">
        <v>18</v>
      </c>
      <c r="E702" s="2">
        <v>70</v>
      </c>
      <c r="F702" s="2">
        <v>33600</v>
      </c>
      <c r="G702" s="2">
        <v>12529</v>
      </c>
      <c r="H702" s="2">
        <v>10</v>
      </c>
      <c r="I702" s="2">
        <v>69</v>
      </c>
      <c r="J702" s="2">
        <v>0</v>
      </c>
      <c r="K702" s="2">
        <v>3.9</v>
      </c>
      <c r="L702" s="3">
        <f t="shared" si="30"/>
        <v>0.37288690476190478</v>
      </c>
      <c r="M702" s="4">
        <f t="shared" si="31"/>
        <v>480</v>
      </c>
      <c r="N702" s="2">
        <f t="shared" si="32"/>
        <v>7</v>
      </c>
    </row>
    <row r="703" spans="1:14" x14ac:dyDescent="0.25">
      <c r="A703" s="5" t="s">
        <v>265</v>
      </c>
      <c r="B703" s="5" t="s">
        <v>245</v>
      </c>
      <c r="C703" s="5" t="s">
        <v>23</v>
      </c>
      <c r="D703" s="5" t="s">
        <v>19</v>
      </c>
      <c r="E703" s="5">
        <v>27</v>
      </c>
      <c r="F703" s="5">
        <v>8127</v>
      </c>
      <c r="G703" s="5">
        <v>2861</v>
      </c>
      <c r="H703" s="5">
        <v>6</v>
      </c>
      <c r="I703" s="5">
        <v>64</v>
      </c>
      <c r="J703" s="5">
        <v>1</v>
      </c>
      <c r="K703" s="5">
        <v>3.9</v>
      </c>
      <c r="L703" s="6">
        <f t="shared" si="30"/>
        <v>0.35203642180386369</v>
      </c>
      <c r="M703" s="7">
        <f t="shared" si="31"/>
        <v>301</v>
      </c>
      <c r="N703" s="5">
        <f t="shared" si="32"/>
        <v>4.5</v>
      </c>
    </row>
    <row r="704" spans="1:14" x14ac:dyDescent="0.25">
      <c r="A704" s="2" t="s">
        <v>266</v>
      </c>
      <c r="B704" s="2" t="s">
        <v>245</v>
      </c>
      <c r="C704" s="2" t="s">
        <v>25</v>
      </c>
      <c r="D704" s="2" t="s">
        <v>17</v>
      </c>
      <c r="E704" s="2">
        <v>37</v>
      </c>
      <c r="F704" s="2">
        <v>7178</v>
      </c>
      <c r="G704" s="2">
        <v>2054</v>
      </c>
      <c r="H704" s="2">
        <v>3</v>
      </c>
      <c r="I704" s="2">
        <v>36</v>
      </c>
      <c r="J704" s="2">
        <v>1</v>
      </c>
      <c r="K704" s="2">
        <v>4.0999999999999996</v>
      </c>
      <c r="L704" s="3">
        <f t="shared" si="30"/>
        <v>0.28615213151295626</v>
      </c>
      <c r="M704" s="4">
        <f t="shared" si="31"/>
        <v>194</v>
      </c>
      <c r="N704" s="2">
        <f t="shared" si="32"/>
        <v>12.333333333333334</v>
      </c>
    </row>
    <row r="705" spans="1:14" x14ac:dyDescent="0.25">
      <c r="A705" s="5" t="s">
        <v>266</v>
      </c>
      <c r="B705" s="5" t="s">
        <v>245</v>
      </c>
      <c r="C705" s="5" t="s">
        <v>25</v>
      </c>
      <c r="D705" s="5" t="s">
        <v>18</v>
      </c>
      <c r="E705" s="5">
        <v>120</v>
      </c>
      <c r="F705" s="5">
        <v>46680</v>
      </c>
      <c r="G705" s="5">
        <v>19172</v>
      </c>
      <c r="H705" s="5">
        <v>10</v>
      </c>
      <c r="I705" s="5">
        <v>56</v>
      </c>
      <c r="J705" s="5">
        <v>2</v>
      </c>
      <c r="K705" s="5">
        <v>4.5999999999999996</v>
      </c>
      <c r="L705" s="6">
        <f t="shared" si="30"/>
        <v>0.41071122536418164</v>
      </c>
      <c r="M705" s="7">
        <f t="shared" si="31"/>
        <v>389</v>
      </c>
      <c r="N705" s="5">
        <f t="shared" si="32"/>
        <v>12</v>
      </c>
    </row>
    <row r="706" spans="1:14" x14ac:dyDescent="0.25">
      <c r="A706" s="2" t="s">
        <v>266</v>
      </c>
      <c r="B706" s="2" t="s">
        <v>245</v>
      </c>
      <c r="C706" s="2" t="s">
        <v>25</v>
      </c>
      <c r="D706" s="2" t="s">
        <v>19</v>
      </c>
      <c r="E706" s="2">
        <v>67</v>
      </c>
      <c r="F706" s="2">
        <v>18760</v>
      </c>
      <c r="G706" s="2">
        <v>7258</v>
      </c>
      <c r="H706" s="2">
        <v>6</v>
      </c>
      <c r="I706" s="2">
        <v>58</v>
      </c>
      <c r="J706" s="2">
        <v>0</v>
      </c>
      <c r="K706" s="2">
        <v>3.6</v>
      </c>
      <c r="L706" s="3">
        <f t="shared" ref="L706:L769" si="33">G706/F706</f>
        <v>0.3868869936034115</v>
      </c>
      <c r="M706" s="4">
        <f t="shared" ref="M706:M769" si="34">F706/E706</f>
        <v>280</v>
      </c>
      <c r="N706" s="2">
        <f t="shared" ref="N706:N769" si="35">E706/H706</f>
        <v>11.166666666666666</v>
      </c>
    </row>
    <row r="707" spans="1:14" x14ac:dyDescent="0.25">
      <c r="A707" s="5" t="s">
        <v>267</v>
      </c>
      <c r="B707" s="5" t="s">
        <v>245</v>
      </c>
      <c r="C707" s="5" t="s">
        <v>27</v>
      </c>
      <c r="D707" s="5" t="s">
        <v>17</v>
      </c>
      <c r="E707" s="5">
        <v>36</v>
      </c>
      <c r="F707" s="5">
        <v>8424</v>
      </c>
      <c r="G707" s="5">
        <v>3100</v>
      </c>
      <c r="H707" s="5">
        <v>3</v>
      </c>
      <c r="I707" s="5">
        <v>55</v>
      </c>
      <c r="J707" s="5">
        <v>0</v>
      </c>
      <c r="K707" s="5">
        <v>3.9</v>
      </c>
      <c r="L707" s="6">
        <f t="shared" si="33"/>
        <v>0.36799620132953464</v>
      </c>
      <c r="M707" s="7">
        <f t="shared" si="34"/>
        <v>234</v>
      </c>
      <c r="N707" s="5">
        <f t="shared" si="35"/>
        <v>12</v>
      </c>
    </row>
    <row r="708" spans="1:14" x14ac:dyDescent="0.25">
      <c r="A708" s="2" t="s">
        <v>267</v>
      </c>
      <c r="B708" s="2" t="s">
        <v>245</v>
      </c>
      <c r="C708" s="2" t="s">
        <v>27</v>
      </c>
      <c r="D708" s="2" t="s">
        <v>18</v>
      </c>
      <c r="E708" s="2">
        <v>164</v>
      </c>
      <c r="F708" s="2">
        <v>49692</v>
      </c>
      <c r="G708" s="2">
        <v>20366</v>
      </c>
      <c r="H708" s="2">
        <v>6</v>
      </c>
      <c r="I708" s="2">
        <v>63</v>
      </c>
      <c r="J708" s="2">
        <v>0</v>
      </c>
      <c r="K708" s="2">
        <v>4.3</v>
      </c>
      <c r="L708" s="3">
        <f t="shared" si="33"/>
        <v>0.40984464300088547</v>
      </c>
      <c r="M708" s="4">
        <f t="shared" si="34"/>
        <v>303</v>
      </c>
      <c r="N708" s="2">
        <f t="shared" si="35"/>
        <v>27.333333333333332</v>
      </c>
    </row>
    <row r="709" spans="1:14" x14ac:dyDescent="0.25">
      <c r="A709" s="5" t="s">
        <v>267</v>
      </c>
      <c r="B709" s="5" t="s">
        <v>245</v>
      </c>
      <c r="C709" s="5" t="s">
        <v>27</v>
      </c>
      <c r="D709" s="5" t="s">
        <v>19</v>
      </c>
      <c r="E709" s="5">
        <v>93</v>
      </c>
      <c r="F709" s="5">
        <v>31992</v>
      </c>
      <c r="G709" s="5">
        <v>12879</v>
      </c>
      <c r="H709" s="5">
        <v>5</v>
      </c>
      <c r="I709" s="5">
        <v>41</v>
      </c>
      <c r="J709" s="5">
        <v>0</v>
      </c>
      <c r="K709" s="5">
        <v>4.3</v>
      </c>
      <c r="L709" s="6">
        <f t="shared" si="33"/>
        <v>0.40256939234808703</v>
      </c>
      <c r="M709" s="7">
        <f t="shared" si="34"/>
        <v>344</v>
      </c>
      <c r="N709" s="5">
        <f t="shared" si="35"/>
        <v>18.600000000000001</v>
      </c>
    </row>
    <row r="710" spans="1:14" x14ac:dyDescent="0.25">
      <c r="A710" s="2" t="s">
        <v>268</v>
      </c>
      <c r="B710" s="2" t="s">
        <v>245</v>
      </c>
      <c r="C710" s="2" t="s">
        <v>29</v>
      </c>
      <c r="D710" s="2" t="s">
        <v>17</v>
      </c>
      <c r="E710" s="2">
        <v>64</v>
      </c>
      <c r="F710" s="2">
        <v>13248</v>
      </c>
      <c r="G710" s="2">
        <v>5126</v>
      </c>
      <c r="H710" s="2">
        <v>4</v>
      </c>
      <c r="I710" s="2">
        <v>47</v>
      </c>
      <c r="J710" s="2">
        <v>2</v>
      </c>
      <c r="K710" s="2">
        <v>3.8</v>
      </c>
      <c r="L710" s="3">
        <f t="shared" si="33"/>
        <v>0.38692632850241548</v>
      </c>
      <c r="M710" s="4">
        <f t="shared" si="34"/>
        <v>207</v>
      </c>
      <c r="N710" s="2">
        <f t="shared" si="35"/>
        <v>16</v>
      </c>
    </row>
    <row r="711" spans="1:14" x14ac:dyDescent="0.25">
      <c r="A711" s="5" t="s">
        <v>268</v>
      </c>
      <c r="B711" s="5" t="s">
        <v>245</v>
      </c>
      <c r="C711" s="5" t="s">
        <v>29</v>
      </c>
      <c r="D711" s="5" t="s">
        <v>18</v>
      </c>
      <c r="E711" s="5">
        <v>145</v>
      </c>
      <c r="F711" s="5">
        <v>52200</v>
      </c>
      <c r="G711" s="5">
        <v>15255</v>
      </c>
      <c r="H711" s="5">
        <v>6</v>
      </c>
      <c r="I711" s="5">
        <v>60</v>
      </c>
      <c r="J711" s="5">
        <v>4</v>
      </c>
      <c r="K711" s="5">
        <v>3.9</v>
      </c>
      <c r="L711" s="6">
        <f t="shared" si="33"/>
        <v>0.29224137931034483</v>
      </c>
      <c r="M711" s="7">
        <f t="shared" si="34"/>
        <v>360</v>
      </c>
      <c r="N711" s="5">
        <f t="shared" si="35"/>
        <v>24.166666666666668</v>
      </c>
    </row>
    <row r="712" spans="1:14" x14ac:dyDescent="0.25">
      <c r="A712" s="2" t="s">
        <v>268</v>
      </c>
      <c r="B712" s="2" t="s">
        <v>245</v>
      </c>
      <c r="C712" s="2" t="s">
        <v>29</v>
      </c>
      <c r="D712" s="2" t="s">
        <v>19</v>
      </c>
      <c r="E712" s="2">
        <v>107</v>
      </c>
      <c r="F712" s="2">
        <v>32849</v>
      </c>
      <c r="G712" s="2">
        <v>13501</v>
      </c>
      <c r="H712" s="2">
        <v>7</v>
      </c>
      <c r="I712" s="2">
        <v>44</v>
      </c>
      <c r="J712" s="2">
        <v>1</v>
      </c>
      <c r="K712" s="2">
        <v>4</v>
      </c>
      <c r="L712" s="3">
        <f t="shared" si="33"/>
        <v>0.41100185698194769</v>
      </c>
      <c r="M712" s="4">
        <f t="shared" si="34"/>
        <v>307</v>
      </c>
      <c r="N712" s="2">
        <f t="shared" si="35"/>
        <v>15.285714285714286</v>
      </c>
    </row>
    <row r="713" spans="1:14" x14ac:dyDescent="0.25">
      <c r="A713" s="5" t="s">
        <v>269</v>
      </c>
      <c r="B713" s="5" t="s">
        <v>245</v>
      </c>
      <c r="C713" s="5" t="s">
        <v>31</v>
      </c>
      <c r="D713" s="5" t="s">
        <v>17</v>
      </c>
      <c r="E713" s="5">
        <v>55</v>
      </c>
      <c r="F713" s="5">
        <v>10615</v>
      </c>
      <c r="G713" s="5">
        <v>4420</v>
      </c>
      <c r="H713" s="5">
        <v>3</v>
      </c>
      <c r="I713" s="5">
        <v>54</v>
      </c>
      <c r="J713" s="5">
        <v>2</v>
      </c>
      <c r="K713" s="5">
        <v>4.2</v>
      </c>
      <c r="L713" s="6">
        <f t="shared" si="33"/>
        <v>0.41639189825718326</v>
      </c>
      <c r="M713" s="7">
        <f t="shared" si="34"/>
        <v>193</v>
      </c>
      <c r="N713" s="5">
        <f t="shared" si="35"/>
        <v>18.333333333333332</v>
      </c>
    </row>
    <row r="714" spans="1:14" x14ac:dyDescent="0.25">
      <c r="A714" s="2" t="s">
        <v>269</v>
      </c>
      <c r="B714" s="2" t="s">
        <v>245</v>
      </c>
      <c r="C714" s="2" t="s">
        <v>31</v>
      </c>
      <c r="D714" s="2" t="s">
        <v>18</v>
      </c>
      <c r="E714" s="2">
        <v>180</v>
      </c>
      <c r="F714" s="2">
        <v>76140</v>
      </c>
      <c r="G714" s="2">
        <v>28676</v>
      </c>
      <c r="H714" s="2">
        <v>9</v>
      </c>
      <c r="I714" s="2">
        <v>68</v>
      </c>
      <c r="J714" s="2">
        <v>1</v>
      </c>
      <c r="K714" s="2">
        <v>4.2</v>
      </c>
      <c r="L714" s="3">
        <f t="shared" si="33"/>
        <v>0.376622012083005</v>
      </c>
      <c r="M714" s="4">
        <f t="shared" si="34"/>
        <v>423</v>
      </c>
      <c r="N714" s="2">
        <f t="shared" si="35"/>
        <v>20</v>
      </c>
    </row>
    <row r="715" spans="1:14" x14ac:dyDescent="0.25">
      <c r="A715" s="5" t="s">
        <v>269</v>
      </c>
      <c r="B715" s="5" t="s">
        <v>245</v>
      </c>
      <c r="C715" s="5" t="s">
        <v>31</v>
      </c>
      <c r="D715" s="5" t="s">
        <v>19</v>
      </c>
      <c r="E715" s="5">
        <v>65</v>
      </c>
      <c r="F715" s="5">
        <v>21710</v>
      </c>
      <c r="G715" s="5">
        <v>7843</v>
      </c>
      <c r="H715" s="5">
        <v>6</v>
      </c>
      <c r="I715" s="5">
        <v>42</v>
      </c>
      <c r="J715" s="5">
        <v>1</v>
      </c>
      <c r="K715" s="5">
        <v>3.8</v>
      </c>
      <c r="L715" s="6">
        <f t="shared" si="33"/>
        <v>0.36126209120221098</v>
      </c>
      <c r="M715" s="7">
        <f t="shared" si="34"/>
        <v>334</v>
      </c>
      <c r="N715" s="5">
        <f t="shared" si="35"/>
        <v>10.833333333333334</v>
      </c>
    </row>
    <row r="716" spans="1:14" x14ac:dyDescent="0.25">
      <c r="A716" s="2" t="s">
        <v>270</v>
      </c>
      <c r="B716" s="2" t="s">
        <v>245</v>
      </c>
      <c r="C716" s="2" t="s">
        <v>16</v>
      </c>
      <c r="D716" s="2" t="s">
        <v>17</v>
      </c>
      <c r="E716" s="2">
        <v>25</v>
      </c>
      <c r="F716" s="2">
        <v>6525</v>
      </c>
      <c r="G716" s="2">
        <v>2294</v>
      </c>
      <c r="H716" s="2">
        <v>3</v>
      </c>
      <c r="I716" s="2">
        <v>35</v>
      </c>
      <c r="J716" s="2">
        <v>1</v>
      </c>
      <c r="K716" s="2">
        <v>4.4000000000000004</v>
      </c>
      <c r="L716" s="3">
        <f t="shared" si="33"/>
        <v>0.35157088122605362</v>
      </c>
      <c r="M716" s="4">
        <f t="shared" si="34"/>
        <v>261</v>
      </c>
      <c r="N716" s="2">
        <f t="shared" si="35"/>
        <v>8.3333333333333339</v>
      </c>
    </row>
    <row r="717" spans="1:14" x14ac:dyDescent="0.25">
      <c r="A717" s="5" t="s">
        <v>270</v>
      </c>
      <c r="B717" s="5" t="s">
        <v>245</v>
      </c>
      <c r="C717" s="5" t="s">
        <v>16</v>
      </c>
      <c r="D717" s="5" t="s">
        <v>18</v>
      </c>
      <c r="E717" s="5">
        <v>84</v>
      </c>
      <c r="F717" s="5">
        <v>26376</v>
      </c>
      <c r="G717" s="5">
        <v>8780</v>
      </c>
      <c r="H717" s="5">
        <v>7</v>
      </c>
      <c r="I717" s="5">
        <v>50</v>
      </c>
      <c r="J717" s="5">
        <v>1</v>
      </c>
      <c r="K717" s="5">
        <v>3.9</v>
      </c>
      <c r="L717" s="6">
        <f t="shared" si="33"/>
        <v>0.33287837427964817</v>
      </c>
      <c r="M717" s="7">
        <f t="shared" si="34"/>
        <v>314</v>
      </c>
      <c r="N717" s="5">
        <f t="shared" si="35"/>
        <v>12</v>
      </c>
    </row>
    <row r="718" spans="1:14" x14ac:dyDescent="0.25">
      <c r="A718" s="2" t="s">
        <v>270</v>
      </c>
      <c r="B718" s="2" t="s">
        <v>245</v>
      </c>
      <c r="C718" s="2" t="s">
        <v>16</v>
      </c>
      <c r="D718" s="2" t="s">
        <v>19</v>
      </c>
      <c r="E718" s="2">
        <v>52</v>
      </c>
      <c r="F718" s="2">
        <v>14560</v>
      </c>
      <c r="G718" s="2">
        <v>4844</v>
      </c>
      <c r="H718" s="2">
        <v>6</v>
      </c>
      <c r="I718" s="2">
        <v>40</v>
      </c>
      <c r="J718" s="2">
        <v>3</v>
      </c>
      <c r="K718" s="2">
        <v>3.9</v>
      </c>
      <c r="L718" s="3">
        <f t="shared" si="33"/>
        <v>0.33269230769230768</v>
      </c>
      <c r="M718" s="4">
        <f t="shared" si="34"/>
        <v>280</v>
      </c>
      <c r="N718" s="2">
        <f t="shared" si="35"/>
        <v>8.6666666666666661</v>
      </c>
    </row>
    <row r="719" spans="1:14" x14ac:dyDescent="0.25">
      <c r="A719" s="5" t="s">
        <v>271</v>
      </c>
      <c r="B719" s="5" t="s">
        <v>245</v>
      </c>
      <c r="C719" s="5" t="s">
        <v>21</v>
      </c>
      <c r="D719" s="5" t="s">
        <v>17</v>
      </c>
      <c r="E719" s="5">
        <v>21</v>
      </c>
      <c r="F719" s="5">
        <v>3822</v>
      </c>
      <c r="G719" s="5">
        <v>1132</v>
      </c>
      <c r="H719" s="5">
        <v>4</v>
      </c>
      <c r="I719" s="5">
        <v>42</v>
      </c>
      <c r="J719" s="5">
        <v>0</v>
      </c>
      <c r="K719" s="5">
        <v>3.9</v>
      </c>
      <c r="L719" s="6">
        <f t="shared" si="33"/>
        <v>0.29618001046572473</v>
      </c>
      <c r="M719" s="7">
        <f t="shared" si="34"/>
        <v>182</v>
      </c>
      <c r="N719" s="5">
        <f t="shared" si="35"/>
        <v>5.25</v>
      </c>
    </row>
    <row r="720" spans="1:14" x14ac:dyDescent="0.25">
      <c r="A720" s="2" t="s">
        <v>271</v>
      </c>
      <c r="B720" s="2" t="s">
        <v>245</v>
      </c>
      <c r="C720" s="2" t="s">
        <v>21</v>
      </c>
      <c r="D720" s="2" t="s">
        <v>18</v>
      </c>
      <c r="E720" s="2">
        <v>68</v>
      </c>
      <c r="F720" s="2">
        <v>32096</v>
      </c>
      <c r="G720" s="2">
        <v>9061</v>
      </c>
      <c r="H720" s="2">
        <v>7</v>
      </c>
      <c r="I720" s="2">
        <v>71</v>
      </c>
      <c r="J720" s="2">
        <v>0</v>
      </c>
      <c r="K720" s="2">
        <v>4.7</v>
      </c>
      <c r="L720" s="3">
        <f t="shared" si="33"/>
        <v>0.2823093220338983</v>
      </c>
      <c r="M720" s="4">
        <f t="shared" si="34"/>
        <v>472</v>
      </c>
      <c r="N720" s="2">
        <f t="shared" si="35"/>
        <v>9.7142857142857135</v>
      </c>
    </row>
    <row r="721" spans="1:14" x14ac:dyDescent="0.25">
      <c r="A721" s="5" t="s">
        <v>271</v>
      </c>
      <c r="B721" s="5" t="s">
        <v>245</v>
      </c>
      <c r="C721" s="5" t="s">
        <v>21</v>
      </c>
      <c r="D721" s="5" t="s">
        <v>19</v>
      </c>
      <c r="E721" s="5">
        <v>24</v>
      </c>
      <c r="F721" s="5">
        <v>7224</v>
      </c>
      <c r="G721" s="5">
        <v>2903</v>
      </c>
      <c r="H721" s="5">
        <v>7</v>
      </c>
      <c r="I721" s="5">
        <v>63</v>
      </c>
      <c r="J721" s="5">
        <v>1</v>
      </c>
      <c r="K721" s="5">
        <v>4.4000000000000004</v>
      </c>
      <c r="L721" s="6">
        <f t="shared" si="33"/>
        <v>0.40185492801771872</v>
      </c>
      <c r="M721" s="7">
        <f t="shared" si="34"/>
        <v>301</v>
      </c>
      <c r="N721" s="5">
        <f t="shared" si="35"/>
        <v>3.4285714285714284</v>
      </c>
    </row>
    <row r="722" spans="1:14" x14ac:dyDescent="0.25">
      <c r="A722" s="2" t="s">
        <v>272</v>
      </c>
      <c r="B722" s="2" t="s">
        <v>245</v>
      </c>
      <c r="C722" s="2" t="s">
        <v>23</v>
      </c>
      <c r="D722" s="2" t="s">
        <v>17</v>
      </c>
      <c r="E722" s="2">
        <v>19</v>
      </c>
      <c r="F722" s="2">
        <v>4009</v>
      </c>
      <c r="G722" s="2">
        <v>1484</v>
      </c>
      <c r="H722" s="2">
        <v>4</v>
      </c>
      <c r="I722" s="2">
        <v>54</v>
      </c>
      <c r="J722" s="2">
        <v>0</v>
      </c>
      <c r="K722" s="2">
        <v>4.2</v>
      </c>
      <c r="L722" s="3">
        <f t="shared" si="33"/>
        <v>0.3701671239710651</v>
      </c>
      <c r="M722" s="4">
        <f t="shared" si="34"/>
        <v>211</v>
      </c>
      <c r="N722" s="2">
        <f t="shared" si="35"/>
        <v>4.75</v>
      </c>
    </row>
    <row r="723" spans="1:14" x14ac:dyDescent="0.25">
      <c r="A723" s="5" t="s">
        <v>272</v>
      </c>
      <c r="B723" s="5" t="s">
        <v>245</v>
      </c>
      <c r="C723" s="5" t="s">
        <v>23</v>
      </c>
      <c r="D723" s="5" t="s">
        <v>18</v>
      </c>
      <c r="E723" s="5">
        <v>79</v>
      </c>
      <c r="F723" s="5">
        <v>36893</v>
      </c>
      <c r="G723" s="5">
        <v>11985</v>
      </c>
      <c r="H723" s="5">
        <v>6</v>
      </c>
      <c r="I723" s="5">
        <v>70</v>
      </c>
      <c r="J723" s="5">
        <v>2</v>
      </c>
      <c r="K723" s="5">
        <v>3.6</v>
      </c>
      <c r="L723" s="6">
        <f t="shared" si="33"/>
        <v>0.32485837421733121</v>
      </c>
      <c r="M723" s="7">
        <f t="shared" si="34"/>
        <v>467</v>
      </c>
      <c r="N723" s="5">
        <f t="shared" si="35"/>
        <v>13.166666666666666</v>
      </c>
    </row>
    <row r="724" spans="1:14" x14ac:dyDescent="0.25">
      <c r="A724" s="2" t="s">
        <v>272</v>
      </c>
      <c r="B724" s="2" t="s">
        <v>245</v>
      </c>
      <c r="C724" s="2" t="s">
        <v>23</v>
      </c>
      <c r="D724" s="2" t="s">
        <v>19</v>
      </c>
      <c r="E724" s="2">
        <v>44</v>
      </c>
      <c r="F724" s="2">
        <v>12980</v>
      </c>
      <c r="G724" s="2">
        <v>3638</v>
      </c>
      <c r="H724" s="2">
        <v>4</v>
      </c>
      <c r="I724" s="2">
        <v>56</v>
      </c>
      <c r="J724" s="2">
        <v>2</v>
      </c>
      <c r="K724" s="2">
        <v>3.9</v>
      </c>
      <c r="L724" s="3">
        <f t="shared" si="33"/>
        <v>0.28027734976887519</v>
      </c>
      <c r="M724" s="4">
        <f t="shared" si="34"/>
        <v>295</v>
      </c>
      <c r="N724" s="2">
        <f t="shared" si="35"/>
        <v>11</v>
      </c>
    </row>
    <row r="725" spans="1:14" x14ac:dyDescent="0.25">
      <c r="A725" s="5" t="s">
        <v>273</v>
      </c>
      <c r="B725" s="5" t="s">
        <v>245</v>
      </c>
      <c r="C725" s="5" t="s">
        <v>25</v>
      </c>
      <c r="D725" s="5" t="s">
        <v>17</v>
      </c>
      <c r="E725" s="5">
        <v>27</v>
      </c>
      <c r="F725" s="5">
        <v>5481</v>
      </c>
      <c r="G725" s="5">
        <v>1706</v>
      </c>
      <c r="H725" s="5">
        <v>3</v>
      </c>
      <c r="I725" s="5">
        <v>38</v>
      </c>
      <c r="J725" s="5">
        <v>2</v>
      </c>
      <c r="K725" s="5">
        <v>4</v>
      </c>
      <c r="L725" s="6">
        <f t="shared" si="33"/>
        <v>0.31125706987775953</v>
      </c>
      <c r="M725" s="7">
        <f t="shared" si="34"/>
        <v>203</v>
      </c>
      <c r="N725" s="5">
        <f t="shared" si="35"/>
        <v>9</v>
      </c>
    </row>
    <row r="726" spans="1:14" x14ac:dyDescent="0.25">
      <c r="A726" s="2" t="s">
        <v>273</v>
      </c>
      <c r="B726" s="2" t="s">
        <v>245</v>
      </c>
      <c r="C726" s="2" t="s">
        <v>25</v>
      </c>
      <c r="D726" s="2" t="s">
        <v>18</v>
      </c>
      <c r="E726" s="2">
        <v>73</v>
      </c>
      <c r="F726" s="2">
        <v>31098</v>
      </c>
      <c r="G726" s="2">
        <v>12256</v>
      </c>
      <c r="H726" s="2">
        <v>6</v>
      </c>
      <c r="I726" s="2">
        <v>54</v>
      </c>
      <c r="J726" s="2">
        <v>2</v>
      </c>
      <c r="K726" s="2">
        <v>4.4000000000000004</v>
      </c>
      <c r="L726" s="3">
        <f t="shared" si="33"/>
        <v>0.39410894591292045</v>
      </c>
      <c r="M726" s="4">
        <f t="shared" si="34"/>
        <v>426</v>
      </c>
      <c r="N726" s="2">
        <f t="shared" si="35"/>
        <v>12.166666666666666</v>
      </c>
    </row>
    <row r="727" spans="1:14" x14ac:dyDescent="0.25">
      <c r="A727" s="5" t="s">
        <v>273</v>
      </c>
      <c r="B727" s="5" t="s">
        <v>245</v>
      </c>
      <c r="C727" s="5" t="s">
        <v>25</v>
      </c>
      <c r="D727" s="5" t="s">
        <v>19</v>
      </c>
      <c r="E727" s="5">
        <v>39</v>
      </c>
      <c r="F727" s="5">
        <v>10413</v>
      </c>
      <c r="G727" s="5">
        <v>3899</v>
      </c>
      <c r="H727" s="5">
        <v>7</v>
      </c>
      <c r="I727" s="5">
        <v>44</v>
      </c>
      <c r="J727" s="5">
        <v>1</v>
      </c>
      <c r="K727" s="5">
        <v>3.6</v>
      </c>
      <c r="L727" s="6">
        <f t="shared" si="33"/>
        <v>0.37443580140209354</v>
      </c>
      <c r="M727" s="7">
        <f t="shared" si="34"/>
        <v>267</v>
      </c>
      <c r="N727" s="5">
        <f t="shared" si="35"/>
        <v>5.5714285714285712</v>
      </c>
    </row>
    <row r="728" spans="1:14" x14ac:dyDescent="0.25">
      <c r="A728" s="2" t="s">
        <v>274</v>
      </c>
      <c r="B728" s="2" t="s">
        <v>245</v>
      </c>
      <c r="C728" s="2" t="s">
        <v>27</v>
      </c>
      <c r="D728" s="2" t="s">
        <v>17</v>
      </c>
      <c r="E728" s="2">
        <v>58</v>
      </c>
      <c r="F728" s="2">
        <v>10498</v>
      </c>
      <c r="G728" s="2">
        <v>3276</v>
      </c>
      <c r="H728" s="2">
        <v>4</v>
      </c>
      <c r="I728" s="2">
        <v>40</v>
      </c>
      <c r="J728" s="2">
        <v>0</v>
      </c>
      <c r="K728" s="2">
        <v>4</v>
      </c>
      <c r="L728" s="3">
        <f t="shared" si="33"/>
        <v>0.31205943989331303</v>
      </c>
      <c r="M728" s="4">
        <f t="shared" si="34"/>
        <v>181</v>
      </c>
      <c r="N728" s="2">
        <f t="shared" si="35"/>
        <v>14.5</v>
      </c>
    </row>
    <row r="729" spans="1:14" x14ac:dyDescent="0.25">
      <c r="A729" s="5" t="s">
        <v>274</v>
      </c>
      <c r="B729" s="5" t="s">
        <v>245</v>
      </c>
      <c r="C729" s="5" t="s">
        <v>27</v>
      </c>
      <c r="D729" s="5" t="s">
        <v>18</v>
      </c>
      <c r="E729" s="5">
        <v>106</v>
      </c>
      <c r="F729" s="5">
        <v>37524</v>
      </c>
      <c r="G729" s="5">
        <v>14954</v>
      </c>
      <c r="H729" s="5">
        <v>7</v>
      </c>
      <c r="I729" s="5">
        <v>48</v>
      </c>
      <c r="J729" s="5">
        <v>2</v>
      </c>
      <c r="K729" s="5">
        <v>4.3</v>
      </c>
      <c r="L729" s="6">
        <f t="shared" si="33"/>
        <v>0.39851828163308817</v>
      </c>
      <c r="M729" s="7">
        <f t="shared" si="34"/>
        <v>354</v>
      </c>
      <c r="N729" s="5">
        <f t="shared" si="35"/>
        <v>15.142857142857142</v>
      </c>
    </row>
    <row r="730" spans="1:14" x14ac:dyDescent="0.25">
      <c r="A730" s="2" t="s">
        <v>274</v>
      </c>
      <c r="B730" s="2" t="s">
        <v>245</v>
      </c>
      <c r="C730" s="2" t="s">
        <v>27</v>
      </c>
      <c r="D730" s="2" t="s">
        <v>19</v>
      </c>
      <c r="E730" s="2">
        <v>60</v>
      </c>
      <c r="F730" s="2">
        <v>18000</v>
      </c>
      <c r="G730" s="2">
        <v>5964</v>
      </c>
      <c r="H730" s="2">
        <v>5</v>
      </c>
      <c r="I730" s="2">
        <v>49</v>
      </c>
      <c r="J730" s="2">
        <v>3</v>
      </c>
      <c r="K730" s="2">
        <v>4</v>
      </c>
      <c r="L730" s="3">
        <f t="shared" si="33"/>
        <v>0.33133333333333331</v>
      </c>
      <c r="M730" s="4">
        <f t="shared" si="34"/>
        <v>300</v>
      </c>
      <c r="N730" s="2">
        <f t="shared" si="35"/>
        <v>12</v>
      </c>
    </row>
    <row r="731" spans="1:14" x14ac:dyDescent="0.25">
      <c r="A731" s="5" t="s">
        <v>275</v>
      </c>
      <c r="B731" s="5" t="s">
        <v>245</v>
      </c>
      <c r="C731" s="5" t="s">
        <v>29</v>
      </c>
      <c r="D731" s="5" t="s">
        <v>17</v>
      </c>
      <c r="E731" s="5">
        <v>71</v>
      </c>
      <c r="F731" s="5">
        <v>13490</v>
      </c>
      <c r="G731" s="5">
        <v>5526</v>
      </c>
      <c r="H731" s="5">
        <v>4</v>
      </c>
      <c r="I731" s="5">
        <v>53</v>
      </c>
      <c r="J731" s="5">
        <v>2</v>
      </c>
      <c r="K731" s="5">
        <v>4.0999999999999996</v>
      </c>
      <c r="L731" s="6">
        <f t="shared" si="33"/>
        <v>0.40963676797627874</v>
      </c>
      <c r="M731" s="7">
        <f t="shared" si="34"/>
        <v>190</v>
      </c>
      <c r="N731" s="5">
        <f t="shared" si="35"/>
        <v>17.75</v>
      </c>
    </row>
    <row r="732" spans="1:14" x14ac:dyDescent="0.25">
      <c r="A732" s="2" t="s">
        <v>275</v>
      </c>
      <c r="B732" s="2" t="s">
        <v>245</v>
      </c>
      <c r="C732" s="2" t="s">
        <v>29</v>
      </c>
      <c r="D732" s="2" t="s">
        <v>18</v>
      </c>
      <c r="E732" s="2">
        <v>165</v>
      </c>
      <c r="F732" s="2">
        <v>59400</v>
      </c>
      <c r="G732" s="2">
        <v>16916</v>
      </c>
      <c r="H732" s="2">
        <v>8</v>
      </c>
      <c r="I732" s="2">
        <v>56</v>
      </c>
      <c r="J732" s="2">
        <v>4</v>
      </c>
      <c r="K732" s="2">
        <v>3.5</v>
      </c>
      <c r="L732" s="3">
        <f t="shared" si="33"/>
        <v>0.2847811447811448</v>
      </c>
      <c r="M732" s="4">
        <f t="shared" si="34"/>
        <v>360</v>
      </c>
      <c r="N732" s="2">
        <f t="shared" si="35"/>
        <v>20.625</v>
      </c>
    </row>
    <row r="733" spans="1:14" x14ac:dyDescent="0.25">
      <c r="A733" s="5" t="s">
        <v>275</v>
      </c>
      <c r="B733" s="5" t="s">
        <v>245</v>
      </c>
      <c r="C733" s="5" t="s">
        <v>29</v>
      </c>
      <c r="D733" s="5" t="s">
        <v>19</v>
      </c>
      <c r="E733" s="5">
        <v>56</v>
      </c>
      <c r="F733" s="5">
        <v>16352</v>
      </c>
      <c r="G733" s="5">
        <v>4749</v>
      </c>
      <c r="H733" s="5">
        <v>4</v>
      </c>
      <c r="I733" s="5">
        <v>44</v>
      </c>
      <c r="J733" s="5">
        <v>3</v>
      </c>
      <c r="K733" s="5">
        <v>4.4000000000000004</v>
      </c>
      <c r="L733" s="6">
        <f t="shared" si="33"/>
        <v>0.29042318982387477</v>
      </c>
      <c r="M733" s="7">
        <f t="shared" si="34"/>
        <v>292</v>
      </c>
      <c r="N733" s="5">
        <f t="shared" si="35"/>
        <v>14</v>
      </c>
    </row>
    <row r="734" spans="1:14" x14ac:dyDescent="0.25">
      <c r="A734" s="2" t="s">
        <v>276</v>
      </c>
      <c r="B734" s="2" t="s">
        <v>277</v>
      </c>
      <c r="C734" s="2" t="s">
        <v>31</v>
      </c>
      <c r="D734" s="2" t="s">
        <v>17</v>
      </c>
      <c r="E734" s="2">
        <v>42</v>
      </c>
      <c r="F734" s="2">
        <v>9996</v>
      </c>
      <c r="G734" s="2">
        <v>2830</v>
      </c>
      <c r="H734" s="2">
        <v>4</v>
      </c>
      <c r="I734" s="2">
        <v>54</v>
      </c>
      <c r="J734" s="2">
        <v>0</v>
      </c>
      <c r="K734" s="2">
        <v>4.4000000000000004</v>
      </c>
      <c r="L734" s="3">
        <f t="shared" si="33"/>
        <v>0.28311324529811926</v>
      </c>
      <c r="M734" s="4">
        <f t="shared" si="34"/>
        <v>238</v>
      </c>
      <c r="N734" s="2">
        <f t="shared" si="35"/>
        <v>10.5</v>
      </c>
    </row>
    <row r="735" spans="1:14" x14ac:dyDescent="0.25">
      <c r="A735" s="5" t="s">
        <v>276</v>
      </c>
      <c r="B735" s="5" t="s">
        <v>277</v>
      </c>
      <c r="C735" s="5" t="s">
        <v>31</v>
      </c>
      <c r="D735" s="5" t="s">
        <v>18</v>
      </c>
      <c r="E735" s="5">
        <v>143</v>
      </c>
      <c r="F735" s="5">
        <v>48906</v>
      </c>
      <c r="G735" s="5">
        <v>16817</v>
      </c>
      <c r="H735" s="5">
        <v>6</v>
      </c>
      <c r="I735" s="5">
        <v>47</v>
      </c>
      <c r="J735" s="5">
        <v>4</v>
      </c>
      <c r="K735" s="5">
        <v>4.5999999999999996</v>
      </c>
      <c r="L735" s="6">
        <f t="shared" si="33"/>
        <v>0.34386373860058073</v>
      </c>
      <c r="M735" s="7">
        <f t="shared" si="34"/>
        <v>342</v>
      </c>
      <c r="N735" s="5">
        <f t="shared" si="35"/>
        <v>23.833333333333332</v>
      </c>
    </row>
    <row r="736" spans="1:14" x14ac:dyDescent="0.25">
      <c r="A736" s="2" t="s">
        <v>276</v>
      </c>
      <c r="B736" s="2" t="s">
        <v>277</v>
      </c>
      <c r="C736" s="2" t="s">
        <v>31</v>
      </c>
      <c r="D736" s="2" t="s">
        <v>19</v>
      </c>
      <c r="E736" s="2">
        <v>91</v>
      </c>
      <c r="F736" s="2">
        <v>22477</v>
      </c>
      <c r="G736" s="2">
        <v>6392</v>
      </c>
      <c r="H736" s="2">
        <v>4</v>
      </c>
      <c r="I736" s="2">
        <v>62</v>
      </c>
      <c r="J736" s="2">
        <v>2</v>
      </c>
      <c r="K736" s="2">
        <v>3.8</v>
      </c>
      <c r="L736" s="3">
        <f t="shared" si="33"/>
        <v>0.2843795880233127</v>
      </c>
      <c r="M736" s="4">
        <f t="shared" si="34"/>
        <v>247</v>
      </c>
      <c r="N736" s="2">
        <f t="shared" si="35"/>
        <v>22.75</v>
      </c>
    </row>
    <row r="737" spans="1:14" x14ac:dyDescent="0.25">
      <c r="A737" s="5" t="s">
        <v>278</v>
      </c>
      <c r="B737" s="5" t="s">
        <v>277</v>
      </c>
      <c r="C737" s="5" t="s">
        <v>16</v>
      </c>
      <c r="D737" s="5" t="s">
        <v>17</v>
      </c>
      <c r="E737" s="5">
        <v>29</v>
      </c>
      <c r="F737" s="5">
        <v>5771</v>
      </c>
      <c r="G737" s="5">
        <v>1999</v>
      </c>
      <c r="H737" s="5">
        <v>4</v>
      </c>
      <c r="I737" s="5">
        <v>50</v>
      </c>
      <c r="J737" s="5">
        <v>2</v>
      </c>
      <c r="K737" s="5">
        <v>4.0999999999999996</v>
      </c>
      <c r="L737" s="6">
        <f t="shared" si="33"/>
        <v>0.34638710795356092</v>
      </c>
      <c r="M737" s="7">
        <f t="shared" si="34"/>
        <v>199</v>
      </c>
      <c r="N737" s="5">
        <f t="shared" si="35"/>
        <v>7.25</v>
      </c>
    </row>
    <row r="738" spans="1:14" x14ac:dyDescent="0.25">
      <c r="A738" s="2" t="s">
        <v>278</v>
      </c>
      <c r="B738" s="2" t="s">
        <v>277</v>
      </c>
      <c r="C738" s="2" t="s">
        <v>16</v>
      </c>
      <c r="D738" s="2" t="s">
        <v>18</v>
      </c>
      <c r="E738" s="2">
        <v>84</v>
      </c>
      <c r="F738" s="2">
        <v>36624</v>
      </c>
      <c r="G738" s="2">
        <v>11341</v>
      </c>
      <c r="H738" s="2">
        <v>6</v>
      </c>
      <c r="I738" s="2">
        <v>62</v>
      </c>
      <c r="J738" s="2">
        <v>0</v>
      </c>
      <c r="K738" s="2">
        <v>4.5</v>
      </c>
      <c r="L738" s="3">
        <f t="shared" si="33"/>
        <v>0.30966033202271737</v>
      </c>
      <c r="M738" s="4">
        <f t="shared" si="34"/>
        <v>436</v>
      </c>
      <c r="N738" s="2">
        <f t="shared" si="35"/>
        <v>14</v>
      </c>
    </row>
    <row r="739" spans="1:14" x14ac:dyDescent="0.25">
      <c r="A739" s="5" t="s">
        <v>278</v>
      </c>
      <c r="B739" s="5" t="s">
        <v>277</v>
      </c>
      <c r="C739" s="5" t="s">
        <v>16</v>
      </c>
      <c r="D739" s="5" t="s">
        <v>19</v>
      </c>
      <c r="E739" s="5">
        <v>36</v>
      </c>
      <c r="F739" s="5">
        <v>8136</v>
      </c>
      <c r="G739" s="5">
        <v>3322</v>
      </c>
      <c r="H739" s="5">
        <v>7</v>
      </c>
      <c r="I739" s="5">
        <v>58</v>
      </c>
      <c r="J739" s="5">
        <v>2</v>
      </c>
      <c r="K739" s="5">
        <v>4.5</v>
      </c>
      <c r="L739" s="6">
        <f t="shared" si="33"/>
        <v>0.4083087512291052</v>
      </c>
      <c r="M739" s="7">
        <f t="shared" si="34"/>
        <v>226</v>
      </c>
      <c r="N739" s="5">
        <f t="shared" si="35"/>
        <v>5.1428571428571432</v>
      </c>
    </row>
    <row r="740" spans="1:14" x14ac:dyDescent="0.25">
      <c r="A740" s="2" t="s">
        <v>279</v>
      </c>
      <c r="B740" s="2" t="s">
        <v>277</v>
      </c>
      <c r="C740" s="2" t="s">
        <v>21</v>
      </c>
      <c r="D740" s="2" t="s">
        <v>17</v>
      </c>
      <c r="E740" s="2">
        <v>16</v>
      </c>
      <c r="F740" s="2">
        <v>3904</v>
      </c>
      <c r="G740" s="2">
        <v>1340</v>
      </c>
      <c r="H740" s="2">
        <v>5</v>
      </c>
      <c r="I740" s="2">
        <v>54</v>
      </c>
      <c r="J740" s="2">
        <v>0</v>
      </c>
      <c r="K740" s="2">
        <v>4.4000000000000004</v>
      </c>
      <c r="L740" s="3">
        <f t="shared" si="33"/>
        <v>0.34323770491803279</v>
      </c>
      <c r="M740" s="4">
        <f t="shared" si="34"/>
        <v>244</v>
      </c>
      <c r="N740" s="2">
        <f t="shared" si="35"/>
        <v>3.2</v>
      </c>
    </row>
    <row r="741" spans="1:14" x14ac:dyDescent="0.25">
      <c r="A741" s="5" t="s">
        <v>279</v>
      </c>
      <c r="B741" s="5" t="s">
        <v>277</v>
      </c>
      <c r="C741" s="5" t="s">
        <v>21</v>
      </c>
      <c r="D741" s="5" t="s">
        <v>18</v>
      </c>
      <c r="E741" s="5">
        <v>78</v>
      </c>
      <c r="F741" s="5">
        <v>36270</v>
      </c>
      <c r="G741" s="5">
        <v>11524</v>
      </c>
      <c r="H741" s="5">
        <v>6</v>
      </c>
      <c r="I741" s="5">
        <v>61</v>
      </c>
      <c r="J741" s="5">
        <v>0</v>
      </c>
      <c r="K741" s="5">
        <v>4.5999999999999996</v>
      </c>
      <c r="L741" s="6">
        <f t="shared" si="33"/>
        <v>0.31772814998621451</v>
      </c>
      <c r="M741" s="7">
        <f t="shared" si="34"/>
        <v>465</v>
      </c>
      <c r="N741" s="5">
        <f t="shared" si="35"/>
        <v>13</v>
      </c>
    </row>
    <row r="742" spans="1:14" x14ac:dyDescent="0.25">
      <c r="A742" s="2" t="s">
        <v>279</v>
      </c>
      <c r="B742" s="2" t="s">
        <v>277</v>
      </c>
      <c r="C742" s="2" t="s">
        <v>21</v>
      </c>
      <c r="D742" s="2" t="s">
        <v>19</v>
      </c>
      <c r="E742" s="2">
        <v>36</v>
      </c>
      <c r="F742" s="2">
        <v>7812</v>
      </c>
      <c r="G742" s="2">
        <v>2922</v>
      </c>
      <c r="H742" s="2">
        <v>7</v>
      </c>
      <c r="I742" s="2">
        <v>54</v>
      </c>
      <c r="J742" s="2">
        <v>1</v>
      </c>
      <c r="K742" s="2">
        <v>4.0999999999999996</v>
      </c>
      <c r="L742" s="3">
        <f t="shared" si="33"/>
        <v>0.3740399385560676</v>
      </c>
      <c r="M742" s="4">
        <f t="shared" si="34"/>
        <v>217</v>
      </c>
      <c r="N742" s="2">
        <f t="shared" si="35"/>
        <v>5.1428571428571432</v>
      </c>
    </row>
    <row r="743" spans="1:14" x14ac:dyDescent="0.25">
      <c r="A743" s="5" t="s">
        <v>280</v>
      </c>
      <c r="B743" s="5" t="s">
        <v>277</v>
      </c>
      <c r="C743" s="5" t="s">
        <v>23</v>
      </c>
      <c r="D743" s="5" t="s">
        <v>17</v>
      </c>
      <c r="E743" s="5">
        <v>42</v>
      </c>
      <c r="F743" s="5">
        <v>10710</v>
      </c>
      <c r="G743" s="5">
        <v>3457</v>
      </c>
      <c r="H743" s="5">
        <v>3</v>
      </c>
      <c r="I743" s="5">
        <v>42</v>
      </c>
      <c r="J743" s="5">
        <v>2</v>
      </c>
      <c r="K743" s="5">
        <v>4.2</v>
      </c>
      <c r="L743" s="6">
        <f t="shared" si="33"/>
        <v>0.3227824463118581</v>
      </c>
      <c r="M743" s="7">
        <f t="shared" si="34"/>
        <v>255</v>
      </c>
      <c r="N743" s="5">
        <f t="shared" si="35"/>
        <v>14</v>
      </c>
    </row>
    <row r="744" spans="1:14" x14ac:dyDescent="0.25">
      <c r="A744" s="2" t="s">
        <v>280</v>
      </c>
      <c r="B744" s="2" t="s">
        <v>277</v>
      </c>
      <c r="C744" s="2" t="s">
        <v>23</v>
      </c>
      <c r="D744" s="2" t="s">
        <v>18</v>
      </c>
      <c r="E744" s="2">
        <v>81</v>
      </c>
      <c r="F744" s="2">
        <v>29889</v>
      </c>
      <c r="G744" s="2">
        <v>12467</v>
      </c>
      <c r="H744" s="2">
        <v>6</v>
      </c>
      <c r="I744" s="2">
        <v>56</v>
      </c>
      <c r="J744" s="2">
        <v>0</v>
      </c>
      <c r="K744" s="2">
        <v>3.5</v>
      </c>
      <c r="L744" s="3">
        <f t="shared" si="33"/>
        <v>0.41710997356887147</v>
      </c>
      <c r="M744" s="4">
        <f t="shared" si="34"/>
        <v>369</v>
      </c>
      <c r="N744" s="2">
        <f t="shared" si="35"/>
        <v>13.5</v>
      </c>
    </row>
    <row r="745" spans="1:14" x14ac:dyDescent="0.25">
      <c r="A745" s="5" t="s">
        <v>280</v>
      </c>
      <c r="B745" s="5" t="s">
        <v>277</v>
      </c>
      <c r="C745" s="5" t="s">
        <v>23</v>
      </c>
      <c r="D745" s="5" t="s">
        <v>19</v>
      </c>
      <c r="E745" s="5">
        <v>28</v>
      </c>
      <c r="F745" s="5">
        <v>8260</v>
      </c>
      <c r="G745" s="5">
        <v>2473</v>
      </c>
      <c r="H745" s="5">
        <v>7</v>
      </c>
      <c r="I745" s="5">
        <v>60</v>
      </c>
      <c r="J745" s="5">
        <v>1</v>
      </c>
      <c r="K745" s="5">
        <v>4.4000000000000004</v>
      </c>
      <c r="L745" s="6">
        <f t="shared" si="33"/>
        <v>0.29939467312348667</v>
      </c>
      <c r="M745" s="7">
        <f t="shared" si="34"/>
        <v>295</v>
      </c>
      <c r="N745" s="5">
        <f t="shared" si="35"/>
        <v>4</v>
      </c>
    </row>
    <row r="746" spans="1:14" x14ac:dyDescent="0.25">
      <c r="A746" s="2" t="s">
        <v>281</v>
      </c>
      <c r="B746" s="2" t="s">
        <v>277</v>
      </c>
      <c r="C746" s="2" t="s">
        <v>25</v>
      </c>
      <c r="D746" s="2" t="s">
        <v>17</v>
      </c>
      <c r="E746" s="2">
        <v>51</v>
      </c>
      <c r="F746" s="2">
        <v>11526</v>
      </c>
      <c r="G746" s="2">
        <v>3673</v>
      </c>
      <c r="H746" s="2">
        <v>3</v>
      </c>
      <c r="I746" s="2">
        <v>47</v>
      </c>
      <c r="J746" s="2">
        <v>1</v>
      </c>
      <c r="K746" s="2">
        <v>4</v>
      </c>
      <c r="L746" s="3">
        <f t="shared" si="33"/>
        <v>0.31867083116432415</v>
      </c>
      <c r="M746" s="4">
        <f t="shared" si="34"/>
        <v>226</v>
      </c>
      <c r="N746" s="2">
        <f t="shared" si="35"/>
        <v>17</v>
      </c>
    </row>
    <row r="747" spans="1:14" x14ac:dyDescent="0.25">
      <c r="A747" s="5" t="s">
        <v>281</v>
      </c>
      <c r="B747" s="5" t="s">
        <v>277</v>
      </c>
      <c r="C747" s="5" t="s">
        <v>25</v>
      </c>
      <c r="D747" s="5" t="s">
        <v>18</v>
      </c>
      <c r="E747" s="5">
        <v>110</v>
      </c>
      <c r="F747" s="5">
        <v>32120</v>
      </c>
      <c r="G747" s="5">
        <v>11652</v>
      </c>
      <c r="H747" s="5">
        <v>6</v>
      </c>
      <c r="I747" s="5">
        <v>74</v>
      </c>
      <c r="J747" s="5">
        <v>4</v>
      </c>
      <c r="K747" s="5">
        <v>3.9</v>
      </c>
      <c r="L747" s="6">
        <f t="shared" si="33"/>
        <v>0.3627646326276463</v>
      </c>
      <c r="M747" s="7">
        <f t="shared" si="34"/>
        <v>292</v>
      </c>
      <c r="N747" s="5">
        <f t="shared" si="35"/>
        <v>18.333333333333332</v>
      </c>
    </row>
    <row r="748" spans="1:14" x14ac:dyDescent="0.25">
      <c r="A748" s="2" t="s">
        <v>281</v>
      </c>
      <c r="B748" s="2" t="s">
        <v>277</v>
      </c>
      <c r="C748" s="2" t="s">
        <v>25</v>
      </c>
      <c r="D748" s="2" t="s">
        <v>19</v>
      </c>
      <c r="E748" s="2">
        <v>49</v>
      </c>
      <c r="F748" s="2">
        <v>14357</v>
      </c>
      <c r="G748" s="2">
        <v>4564</v>
      </c>
      <c r="H748" s="2">
        <v>7</v>
      </c>
      <c r="I748" s="2">
        <v>40</v>
      </c>
      <c r="J748" s="2">
        <v>2</v>
      </c>
      <c r="K748" s="2">
        <v>4.3</v>
      </c>
      <c r="L748" s="3">
        <f t="shared" si="33"/>
        <v>0.31789371038517794</v>
      </c>
      <c r="M748" s="4">
        <f t="shared" si="34"/>
        <v>293</v>
      </c>
      <c r="N748" s="2">
        <f t="shared" si="35"/>
        <v>7</v>
      </c>
    </row>
    <row r="749" spans="1:14" x14ac:dyDescent="0.25">
      <c r="A749" s="5" t="s">
        <v>282</v>
      </c>
      <c r="B749" s="5" t="s">
        <v>277</v>
      </c>
      <c r="C749" s="5" t="s">
        <v>27</v>
      </c>
      <c r="D749" s="5" t="s">
        <v>17</v>
      </c>
      <c r="E749" s="5">
        <v>33</v>
      </c>
      <c r="F749" s="5">
        <v>8580</v>
      </c>
      <c r="G749" s="5">
        <v>3282</v>
      </c>
      <c r="H749" s="5">
        <v>5</v>
      </c>
      <c r="I749" s="5">
        <v>48</v>
      </c>
      <c r="J749" s="5">
        <v>0</v>
      </c>
      <c r="K749" s="5">
        <v>4</v>
      </c>
      <c r="L749" s="6">
        <f t="shared" si="33"/>
        <v>0.38251748251748252</v>
      </c>
      <c r="M749" s="7">
        <f t="shared" si="34"/>
        <v>260</v>
      </c>
      <c r="N749" s="5">
        <f t="shared" si="35"/>
        <v>6.6</v>
      </c>
    </row>
    <row r="750" spans="1:14" x14ac:dyDescent="0.25">
      <c r="A750" s="2" t="s">
        <v>282</v>
      </c>
      <c r="B750" s="2" t="s">
        <v>277</v>
      </c>
      <c r="C750" s="2" t="s">
        <v>27</v>
      </c>
      <c r="D750" s="2" t="s">
        <v>18</v>
      </c>
      <c r="E750" s="2">
        <v>140</v>
      </c>
      <c r="F750" s="2">
        <v>40460</v>
      </c>
      <c r="G750" s="2">
        <v>16601</v>
      </c>
      <c r="H750" s="2">
        <v>6</v>
      </c>
      <c r="I750" s="2">
        <v>57</v>
      </c>
      <c r="J750" s="2">
        <v>2</v>
      </c>
      <c r="K750" s="2">
        <v>3.8</v>
      </c>
      <c r="L750" s="3">
        <f t="shared" si="33"/>
        <v>0.41030647553138905</v>
      </c>
      <c r="M750" s="4">
        <f t="shared" si="34"/>
        <v>289</v>
      </c>
      <c r="N750" s="2">
        <f t="shared" si="35"/>
        <v>23.333333333333332</v>
      </c>
    </row>
    <row r="751" spans="1:14" x14ac:dyDescent="0.25">
      <c r="A751" s="5" t="s">
        <v>282</v>
      </c>
      <c r="B751" s="5" t="s">
        <v>277</v>
      </c>
      <c r="C751" s="5" t="s">
        <v>27</v>
      </c>
      <c r="D751" s="5" t="s">
        <v>19</v>
      </c>
      <c r="E751" s="5">
        <v>42</v>
      </c>
      <c r="F751" s="5">
        <v>13650</v>
      </c>
      <c r="G751" s="5">
        <v>5159</v>
      </c>
      <c r="H751" s="5">
        <v>5</v>
      </c>
      <c r="I751" s="5">
        <v>64</v>
      </c>
      <c r="J751" s="5">
        <v>0</v>
      </c>
      <c r="K751" s="5">
        <v>4.3</v>
      </c>
      <c r="L751" s="6">
        <f t="shared" si="33"/>
        <v>0.37794871794871793</v>
      </c>
      <c r="M751" s="7">
        <f t="shared" si="34"/>
        <v>325</v>
      </c>
      <c r="N751" s="5">
        <f t="shared" si="35"/>
        <v>8.4</v>
      </c>
    </row>
    <row r="752" spans="1:14" x14ac:dyDescent="0.25">
      <c r="A752" s="2" t="s">
        <v>283</v>
      </c>
      <c r="B752" s="2" t="s">
        <v>277</v>
      </c>
      <c r="C752" s="2" t="s">
        <v>29</v>
      </c>
      <c r="D752" s="2" t="s">
        <v>17</v>
      </c>
      <c r="E752" s="2">
        <v>28</v>
      </c>
      <c r="F752" s="2">
        <v>5880</v>
      </c>
      <c r="G752" s="2">
        <v>2069</v>
      </c>
      <c r="H752" s="2">
        <v>4</v>
      </c>
      <c r="I752" s="2">
        <v>37</v>
      </c>
      <c r="J752" s="2">
        <v>1</v>
      </c>
      <c r="K752" s="2">
        <v>4.2</v>
      </c>
      <c r="L752" s="3">
        <f t="shared" si="33"/>
        <v>0.35187074829931975</v>
      </c>
      <c r="M752" s="4">
        <f t="shared" si="34"/>
        <v>210</v>
      </c>
      <c r="N752" s="2">
        <f t="shared" si="35"/>
        <v>7</v>
      </c>
    </row>
    <row r="753" spans="1:14" x14ac:dyDescent="0.25">
      <c r="A753" s="5" t="s">
        <v>283</v>
      </c>
      <c r="B753" s="5" t="s">
        <v>277</v>
      </c>
      <c r="C753" s="5" t="s">
        <v>29</v>
      </c>
      <c r="D753" s="5" t="s">
        <v>18</v>
      </c>
      <c r="E753" s="5">
        <v>114</v>
      </c>
      <c r="F753" s="5">
        <v>43776</v>
      </c>
      <c r="G753" s="5">
        <v>17537</v>
      </c>
      <c r="H753" s="5">
        <v>6</v>
      </c>
      <c r="I753" s="5">
        <v>66</v>
      </c>
      <c r="J753" s="5">
        <v>2</v>
      </c>
      <c r="K753" s="5">
        <v>3.9</v>
      </c>
      <c r="L753" s="6">
        <f t="shared" si="33"/>
        <v>0.4006076388888889</v>
      </c>
      <c r="M753" s="7">
        <f t="shared" si="34"/>
        <v>384</v>
      </c>
      <c r="N753" s="5">
        <f t="shared" si="35"/>
        <v>19</v>
      </c>
    </row>
    <row r="754" spans="1:14" x14ac:dyDescent="0.25">
      <c r="A754" s="2" t="s">
        <v>283</v>
      </c>
      <c r="B754" s="2" t="s">
        <v>277</v>
      </c>
      <c r="C754" s="2" t="s">
        <v>29</v>
      </c>
      <c r="D754" s="2" t="s">
        <v>19</v>
      </c>
      <c r="E754" s="2">
        <v>68</v>
      </c>
      <c r="F754" s="2">
        <v>22032</v>
      </c>
      <c r="G754" s="2">
        <v>7604</v>
      </c>
      <c r="H754" s="2">
        <v>7</v>
      </c>
      <c r="I754" s="2">
        <v>48</v>
      </c>
      <c r="J754" s="2">
        <v>1</v>
      </c>
      <c r="K754" s="2">
        <v>4.0999999999999996</v>
      </c>
      <c r="L754" s="3">
        <f t="shared" si="33"/>
        <v>0.34513435003631082</v>
      </c>
      <c r="M754" s="4">
        <f t="shared" si="34"/>
        <v>324</v>
      </c>
      <c r="N754" s="2">
        <f t="shared" si="35"/>
        <v>9.7142857142857135</v>
      </c>
    </row>
    <row r="755" spans="1:14" x14ac:dyDescent="0.25">
      <c r="A755" s="5" t="s">
        <v>284</v>
      </c>
      <c r="B755" s="5" t="s">
        <v>277</v>
      </c>
      <c r="C755" s="5" t="s">
        <v>31</v>
      </c>
      <c r="D755" s="5" t="s">
        <v>17</v>
      </c>
      <c r="E755" s="5">
        <v>66</v>
      </c>
      <c r="F755" s="5">
        <v>13464</v>
      </c>
      <c r="G755" s="5">
        <v>5207</v>
      </c>
      <c r="H755" s="5">
        <v>4</v>
      </c>
      <c r="I755" s="5">
        <v>45</v>
      </c>
      <c r="J755" s="5">
        <v>1</v>
      </c>
      <c r="K755" s="5">
        <v>4</v>
      </c>
      <c r="L755" s="6">
        <f t="shared" si="33"/>
        <v>0.38673499702911468</v>
      </c>
      <c r="M755" s="7">
        <f t="shared" si="34"/>
        <v>204</v>
      </c>
      <c r="N755" s="5">
        <f t="shared" si="35"/>
        <v>16.5</v>
      </c>
    </row>
    <row r="756" spans="1:14" x14ac:dyDescent="0.25">
      <c r="A756" s="2" t="s">
        <v>284</v>
      </c>
      <c r="B756" s="2" t="s">
        <v>277</v>
      </c>
      <c r="C756" s="2" t="s">
        <v>31</v>
      </c>
      <c r="D756" s="2" t="s">
        <v>18</v>
      </c>
      <c r="E756" s="2">
        <v>124</v>
      </c>
      <c r="F756" s="2">
        <v>55800</v>
      </c>
      <c r="G756" s="2">
        <v>16494</v>
      </c>
      <c r="H756" s="2">
        <v>10</v>
      </c>
      <c r="I756" s="2">
        <v>51</v>
      </c>
      <c r="J756" s="2">
        <v>1</v>
      </c>
      <c r="K756" s="2">
        <v>4.2</v>
      </c>
      <c r="L756" s="3">
        <f t="shared" si="33"/>
        <v>0.29559139784946237</v>
      </c>
      <c r="M756" s="4">
        <f t="shared" si="34"/>
        <v>450</v>
      </c>
      <c r="N756" s="2">
        <f t="shared" si="35"/>
        <v>12.4</v>
      </c>
    </row>
    <row r="757" spans="1:14" x14ac:dyDescent="0.25">
      <c r="A757" s="5" t="s">
        <v>284</v>
      </c>
      <c r="B757" s="5" t="s">
        <v>277</v>
      </c>
      <c r="C757" s="5" t="s">
        <v>31</v>
      </c>
      <c r="D757" s="5" t="s">
        <v>19</v>
      </c>
      <c r="E757" s="5">
        <v>49</v>
      </c>
      <c r="F757" s="5">
        <v>10290</v>
      </c>
      <c r="G757" s="5">
        <v>3702</v>
      </c>
      <c r="H757" s="5">
        <v>5</v>
      </c>
      <c r="I757" s="5">
        <v>43</v>
      </c>
      <c r="J757" s="5">
        <v>3</v>
      </c>
      <c r="K757" s="5">
        <v>4.2</v>
      </c>
      <c r="L757" s="6">
        <f t="shared" si="33"/>
        <v>0.35976676384839651</v>
      </c>
      <c r="M757" s="7">
        <f t="shared" si="34"/>
        <v>210</v>
      </c>
      <c r="N757" s="5">
        <f t="shared" si="35"/>
        <v>9.8000000000000007</v>
      </c>
    </row>
    <row r="758" spans="1:14" x14ac:dyDescent="0.25">
      <c r="A758" s="2" t="s">
        <v>285</v>
      </c>
      <c r="B758" s="2" t="s">
        <v>277</v>
      </c>
      <c r="C758" s="2" t="s">
        <v>16</v>
      </c>
      <c r="D758" s="2" t="s">
        <v>17</v>
      </c>
      <c r="E758" s="2">
        <v>41</v>
      </c>
      <c r="F758" s="2">
        <v>10865</v>
      </c>
      <c r="G758" s="2">
        <v>3640</v>
      </c>
      <c r="H758" s="2">
        <v>5</v>
      </c>
      <c r="I758" s="2">
        <v>46</v>
      </c>
      <c r="J758" s="2">
        <v>1</v>
      </c>
      <c r="K758" s="2">
        <v>4.4000000000000004</v>
      </c>
      <c r="L758" s="3">
        <f t="shared" si="33"/>
        <v>0.33502070869765299</v>
      </c>
      <c r="M758" s="4">
        <f t="shared" si="34"/>
        <v>265</v>
      </c>
      <c r="N758" s="2">
        <f t="shared" si="35"/>
        <v>8.1999999999999993</v>
      </c>
    </row>
    <row r="759" spans="1:14" x14ac:dyDescent="0.25">
      <c r="A759" s="5" t="s">
        <v>285</v>
      </c>
      <c r="B759" s="5" t="s">
        <v>277</v>
      </c>
      <c r="C759" s="5" t="s">
        <v>16</v>
      </c>
      <c r="D759" s="5" t="s">
        <v>18</v>
      </c>
      <c r="E759" s="5">
        <v>98</v>
      </c>
      <c r="F759" s="5">
        <v>43708</v>
      </c>
      <c r="G759" s="5">
        <v>12791</v>
      </c>
      <c r="H759" s="5">
        <v>10</v>
      </c>
      <c r="I759" s="5">
        <v>49</v>
      </c>
      <c r="J759" s="5">
        <v>1</v>
      </c>
      <c r="K759" s="5">
        <v>3.7</v>
      </c>
      <c r="L759" s="6">
        <f t="shared" si="33"/>
        <v>0.29264665507458587</v>
      </c>
      <c r="M759" s="7">
        <f t="shared" si="34"/>
        <v>446</v>
      </c>
      <c r="N759" s="5">
        <f t="shared" si="35"/>
        <v>9.8000000000000007</v>
      </c>
    </row>
    <row r="760" spans="1:14" x14ac:dyDescent="0.25">
      <c r="A760" s="2" t="s">
        <v>285</v>
      </c>
      <c r="B760" s="2" t="s">
        <v>277</v>
      </c>
      <c r="C760" s="2" t="s">
        <v>16</v>
      </c>
      <c r="D760" s="2" t="s">
        <v>19</v>
      </c>
      <c r="E760" s="2">
        <v>32</v>
      </c>
      <c r="F760" s="2">
        <v>10784</v>
      </c>
      <c r="G760" s="2">
        <v>4418</v>
      </c>
      <c r="H760" s="2">
        <v>4</v>
      </c>
      <c r="I760" s="2">
        <v>54</v>
      </c>
      <c r="J760" s="2">
        <v>2</v>
      </c>
      <c r="K760" s="2">
        <v>3.7</v>
      </c>
      <c r="L760" s="3">
        <f t="shared" si="33"/>
        <v>0.40968100890207715</v>
      </c>
      <c r="M760" s="4">
        <f t="shared" si="34"/>
        <v>337</v>
      </c>
      <c r="N760" s="2">
        <f t="shared" si="35"/>
        <v>8</v>
      </c>
    </row>
    <row r="761" spans="1:14" x14ac:dyDescent="0.25">
      <c r="A761" s="5" t="s">
        <v>286</v>
      </c>
      <c r="B761" s="5" t="s">
        <v>277</v>
      </c>
      <c r="C761" s="5" t="s">
        <v>21</v>
      </c>
      <c r="D761" s="5" t="s">
        <v>17</v>
      </c>
      <c r="E761" s="5">
        <v>17</v>
      </c>
      <c r="F761" s="5">
        <v>3689</v>
      </c>
      <c r="G761" s="5">
        <v>1463</v>
      </c>
      <c r="H761" s="5">
        <v>3</v>
      </c>
      <c r="I761" s="5">
        <v>40</v>
      </c>
      <c r="J761" s="5">
        <v>0</v>
      </c>
      <c r="K761" s="5">
        <v>4.0999999999999996</v>
      </c>
      <c r="L761" s="6">
        <f t="shared" si="33"/>
        <v>0.396584440227704</v>
      </c>
      <c r="M761" s="7">
        <f t="shared" si="34"/>
        <v>217</v>
      </c>
      <c r="N761" s="5">
        <f t="shared" si="35"/>
        <v>5.666666666666667</v>
      </c>
    </row>
    <row r="762" spans="1:14" x14ac:dyDescent="0.25">
      <c r="A762" s="2" t="s">
        <v>286</v>
      </c>
      <c r="B762" s="2" t="s">
        <v>277</v>
      </c>
      <c r="C762" s="2" t="s">
        <v>21</v>
      </c>
      <c r="D762" s="2" t="s">
        <v>18</v>
      </c>
      <c r="E762" s="2">
        <v>66</v>
      </c>
      <c r="F762" s="2">
        <v>22308</v>
      </c>
      <c r="G762" s="2">
        <v>8899</v>
      </c>
      <c r="H762" s="2">
        <v>6</v>
      </c>
      <c r="I762" s="2">
        <v>57</v>
      </c>
      <c r="J762" s="2">
        <v>2</v>
      </c>
      <c r="K762" s="2">
        <v>3.5</v>
      </c>
      <c r="L762" s="3">
        <f t="shared" si="33"/>
        <v>0.39891518737672582</v>
      </c>
      <c r="M762" s="4">
        <f t="shared" si="34"/>
        <v>338</v>
      </c>
      <c r="N762" s="2">
        <f t="shared" si="35"/>
        <v>11</v>
      </c>
    </row>
    <row r="763" spans="1:14" x14ac:dyDescent="0.25">
      <c r="A763" s="5" t="s">
        <v>286</v>
      </c>
      <c r="B763" s="5" t="s">
        <v>277</v>
      </c>
      <c r="C763" s="5" t="s">
        <v>21</v>
      </c>
      <c r="D763" s="5" t="s">
        <v>19</v>
      </c>
      <c r="E763" s="5">
        <v>51</v>
      </c>
      <c r="F763" s="5">
        <v>13056</v>
      </c>
      <c r="G763" s="5">
        <v>4131</v>
      </c>
      <c r="H763" s="5">
        <v>6</v>
      </c>
      <c r="I763" s="5">
        <v>64</v>
      </c>
      <c r="J763" s="5">
        <v>2</v>
      </c>
      <c r="K763" s="5">
        <v>3.7</v>
      </c>
      <c r="L763" s="6">
        <f t="shared" si="33"/>
        <v>0.31640625</v>
      </c>
      <c r="M763" s="7">
        <f t="shared" si="34"/>
        <v>256</v>
      </c>
      <c r="N763" s="5">
        <f t="shared" si="35"/>
        <v>8.5</v>
      </c>
    </row>
    <row r="764" spans="1:14" x14ac:dyDescent="0.25">
      <c r="A764" s="2" t="s">
        <v>287</v>
      </c>
      <c r="B764" s="2" t="s">
        <v>277</v>
      </c>
      <c r="C764" s="2" t="s">
        <v>23</v>
      </c>
      <c r="D764" s="2" t="s">
        <v>17</v>
      </c>
      <c r="E764" s="2">
        <v>40</v>
      </c>
      <c r="F764" s="2">
        <v>7800</v>
      </c>
      <c r="G764" s="2">
        <v>2318</v>
      </c>
      <c r="H764" s="2">
        <v>4</v>
      </c>
      <c r="I764" s="2">
        <v>55</v>
      </c>
      <c r="J764" s="2">
        <v>2</v>
      </c>
      <c r="K764" s="2">
        <v>3.8</v>
      </c>
      <c r="L764" s="3">
        <f t="shared" si="33"/>
        <v>0.29717948717948717</v>
      </c>
      <c r="M764" s="4">
        <f t="shared" si="34"/>
        <v>195</v>
      </c>
      <c r="N764" s="2">
        <f t="shared" si="35"/>
        <v>10</v>
      </c>
    </row>
    <row r="765" spans="1:14" x14ac:dyDescent="0.25">
      <c r="A765" s="5" t="s">
        <v>287</v>
      </c>
      <c r="B765" s="5" t="s">
        <v>277</v>
      </c>
      <c r="C765" s="5" t="s">
        <v>23</v>
      </c>
      <c r="D765" s="5" t="s">
        <v>18</v>
      </c>
      <c r="E765" s="5">
        <v>76</v>
      </c>
      <c r="F765" s="5">
        <v>23940</v>
      </c>
      <c r="G765" s="5">
        <v>7717</v>
      </c>
      <c r="H765" s="5">
        <v>6</v>
      </c>
      <c r="I765" s="5">
        <v>50</v>
      </c>
      <c r="J765" s="5">
        <v>0</v>
      </c>
      <c r="K765" s="5">
        <v>4.4000000000000004</v>
      </c>
      <c r="L765" s="6">
        <f t="shared" si="33"/>
        <v>0.32234753550543022</v>
      </c>
      <c r="M765" s="7">
        <f t="shared" si="34"/>
        <v>315</v>
      </c>
      <c r="N765" s="5">
        <f t="shared" si="35"/>
        <v>12.666666666666666</v>
      </c>
    </row>
    <row r="766" spans="1:14" x14ac:dyDescent="0.25">
      <c r="A766" s="2" t="s">
        <v>287</v>
      </c>
      <c r="B766" s="2" t="s">
        <v>277</v>
      </c>
      <c r="C766" s="2" t="s">
        <v>23</v>
      </c>
      <c r="D766" s="2" t="s">
        <v>19</v>
      </c>
      <c r="E766" s="2">
        <v>26</v>
      </c>
      <c r="F766" s="2">
        <v>7098</v>
      </c>
      <c r="G766" s="2">
        <v>2548</v>
      </c>
      <c r="H766" s="2">
        <v>7</v>
      </c>
      <c r="I766" s="2">
        <v>40</v>
      </c>
      <c r="J766" s="2">
        <v>0</v>
      </c>
      <c r="K766" s="2">
        <v>4.2</v>
      </c>
      <c r="L766" s="3">
        <f t="shared" si="33"/>
        <v>0.35897435897435898</v>
      </c>
      <c r="M766" s="4">
        <f t="shared" si="34"/>
        <v>273</v>
      </c>
      <c r="N766" s="2">
        <f t="shared" si="35"/>
        <v>3.7142857142857144</v>
      </c>
    </row>
    <row r="767" spans="1:14" x14ac:dyDescent="0.25">
      <c r="A767" s="5" t="s">
        <v>288</v>
      </c>
      <c r="B767" s="5" t="s">
        <v>277</v>
      </c>
      <c r="C767" s="5" t="s">
        <v>25</v>
      </c>
      <c r="D767" s="5" t="s">
        <v>17</v>
      </c>
      <c r="E767" s="5">
        <v>17</v>
      </c>
      <c r="F767" s="5">
        <v>3519</v>
      </c>
      <c r="G767" s="5">
        <v>988</v>
      </c>
      <c r="H767" s="5">
        <v>4</v>
      </c>
      <c r="I767" s="5">
        <v>43</v>
      </c>
      <c r="J767" s="5">
        <v>0</v>
      </c>
      <c r="K767" s="5">
        <v>4.3</v>
      </c>
      <c r="L767" s="6">
        <f t="shared" si="33"/>
        <v>0.28076157999431656</v>
      </c>
      <c r="M767" s="7">
        <f t="shared" si="34"/>
        <v>207</v>
      </c>
      <c r="N767" s="5">
        <f t="shared" si="35"/>
        <v>4.25</v>
      </c>
    </row>
    <row r="768" spans="1:14" x14ac:dyDescent="0.25">
      <c r="A768" s="2" t="s">
        <v>288</v>
      </c>
      <c r="B768" s="2" t="s">
        <v>277</v>
      </c>
      <c r="C768" s="2" t="s">
        <v>25</v>
      </c>
      <c r="D768" s="2" t="s">
        <v>18</v>
      </c>
      <c r="E768" s="2">
        <v>76</v>
      </c>
      <c r="F768" s="2">
        <v>30172</v>
      </c>
      <c r="G768" s="2">
        <v>10315</v>
      </c>
      <c r="H768" s="2">
        <v>10</v>
      </c>
      <c r="I768" s="2">
        <v>52</v>
      </c>
      <c r="J768" s="2">
        <v>4</v>
      </c>
      <c r="K768" s="2">
        <v>3.8</v>
      </c>
      <c r="L768" s="3">
        <f t="shared" si="33"/>
        <v>0.34187325997613682</v>
      </c>
      <c r="M768" s="4">
        <f t="shared" si="34"/>
        <v>397</v>
      </c>
      <c r="N768" s="2">
        <f t="shared" si="35"/>
        <v>7.6</v>
      </c>
    </row>
    <row r="769" spans="1:14" x14ac:dyDescent="0.25">
      <c r="A769" s="5" t="s">
        <v>288</v>
      </c>
      <c r="B769" s="5" t="s">
        <v>277</v>
      </c>
      <c r="C769" s="5" t="s">
        <v>25</v>
      </c>
      <c r="D769" s="5" t="s">
        <v>19</v>
      </c>
      <c r="E769" s="5">
        <v>34</v>
      </c>
      <c r="F769" s="5">
        <v>8704</v>
      </c>
      <c r="G769" s="5">
        <v>3362</v>
      </c>
      <c r="H769" s="5">
        <v>7</v>
      </c>
      <c r="I769" s="5">
        <v>48</v>
      </c>
      <c r="J769" s="5">
        <v>0</v>
      </c>
      <c r="K769" s="5">
        <v>3.7</v>
      </c>
      <c r="L769" s="6">
        <f t="shared" si="33"/>
        <v>0.38625919117647056</v>
      </c>
      <c r="M769" s="7">
        <f t="shared" si="34"/>
        <v>256</v>
      </c>
      <c r="N769" s="5">
        <f t="shared" si="35"/>
        <v>4.8571428571428568</v>
      </c>
    </row>
    <row r="770" spans="1:14" x14ac:dyDescent="0.25">
      <c r="A770" s="2" t="s">
        <v>289</v>
      </c>
      <c r="B770" s="2" t="s">
        <v>277</v>
      </c>
      <c r="C770" s="2" t="s">
        <v>27</v>
      </c>
      <c r="D770" s="2" t="s">
        <v>17</v>
      </c>
      <c r="E770" s="2">
        <v>48</v>
      </c>
      <c r="F770" s="2">
        <v>13344</v>
      </c>
      <c r="G770" s="2">
        <v>4124</v>
      </c>
      <c r="H770" s="2">
        <v>3</v>
      </c>
      <c r="I770" s="2">
        <v>53</v>
      </c>
      <c r="J770" s="2">
        <v>2</v>
      </c>
      <c r="K770" s="2">
        <v>4.0999999999999996</v>
      </c>
      <c r="L770" s="3">
        <f t="shared" ref="L770:L833" si="36">G770/F770</f>
        <v>0.30905275779376501</v>
      </c>
      <c r="M770" s="4">
        <f t="shared" ref="M770:M833" si="37">F770/E770</f>
        <v>278</v>
      </c>
      <c r="N770" s="2">
        <f t="shared" ref="N770:N833" si="38">E770/H770</f>
        <v>16</v>
      </c>
    </row>
    <row r="771" spans="1:14" x14ac:dyDescent="0.25">
      <c r="A771" s="5" t="s">
        <v>289</v>
      </c>
      <c r="B771" s="5" t="s">
        <v>277</v>
      </c>
      <c r="C771" s="5" t="s">
        <v>27</v>
      </c>
      <c r="D771" s="5" t="s">
        <v>18</v>
      </c>
      <c r="E771" s="5">
        <v>87</v>
      </c>
      <c r="F771" s="5">
        <v>29928</v>
      </c>
      <c r="G771" s="5">
        <v>12401</v>
      </c>
      <c r="H771" s="5">
        <v>9</v>
      </c>
      <c r="I771" s="5">
        <v>47</v>
      </c>
      <c r="J771" s="5">
        <v>1</v>
      </c>
      <c r="K771" s="5">
        <v>4.7</v>
      </c>
      <c r="L771" s="6">
        <f t="shared" si="36"/>
        <v>0.41436113338679498</v>
      </c>
      <c r="M771" s="7">
        <f t="shared" si="37"/>
        <v>344</v>
      </c>
      <c r="N771" s="5">
        <f t="shared" si="38"/>
        <v>9.6666666666666661</v>
      </c>
    </row>
    <row r="772" spans="1:14" x14ac:dyDescent="0.25">
      <c r="A772" s="2" t="s">
        <v>289</v>
      </c>
      <c r="B772" s="2" t="s">
        <v>277</v>
      </c>
      <c r="C772" s="2" t="s">
        <v>27</v>
      </c>
      <c r="D772" s="2" t="s">
        <v>19</v>
      </c>
      <c r="E772" s="2">
        <v>67</v>
      </c>
      <c r="F772" s="2">
        <v>18023</v>
      </c>
      <c r="G772" s="2">
        <v>7020</v>
      </c>
      <c r="H772" s="2">
        <v>4</v>
      </c>
      <c r="I772" s="2">
        <v>60</v>
      </c>
      <c r="J772" s="2">
        <v>1</v>
      </c>
      <c r="K772" s="2">
        <v>3.7</v>
      </c>
      <c r="L772" s="3">
        <f t="shared" si="36"/>
        <v>0.38950230261332741</v>
      </c>
      <c r="M772" s="4">
        <f t="shared" si="37"/>
        <v>269</v>
      </c>
      <c r="N772" s="2">
        <f t="shared" si="38"/>
        <v>16.75</v>
      </c>
    </row>
    <row r="773" spans="1:14" x14ac:dyDescent="0.25">
      <c r="A773" s="5" t="s">
        <v>290</v>
      </c>
      <c r="B773" s="5" t="s">
        <v>277</v>
      </c>
      <c r="C773" s="5" t="s">
        <v>29</v>
      </c>
      <c r="D773" s="5" t="s">
        <v>17</v>
      </c>
      <c r="E773" s="5">
        <v>51</v>
      </c>
      <c r="F773" s="5">
        <v>13617</v>
      </c>
      <c r="G773" s="5">
        <v>5459</v>
      </c>
      <c r="H773" s="5">
        <v>4</v>
      </c>
      <c r="I773" s="5">
        <v>48</v>
      </c>
      <c r="J773" s="5">
        <v>2</v>
      </c>
      <c r="K773" s="5">
        <v>4.0999999999999996</v>
      </c>
      <c r="L773" s="6">
        <f t="shared" si="36"/>
        <v>0.40089593889990455</v>
      </c>
      <c r="M773" s="7">
        <f t="shared" si="37"/>
        <v>267</v>
      </c>
      <c r="N773" s="5">
        <f t="shared" si="38"/>
        <v>12.75</v>
      </c>
    </row>
    <row r="774" spans="1:14" x14ac:dyDescent="0.25">
      <c r="A774" s="2" t="s">
        <v>290</v>
      </c>
      <c r="B774" s="2" t="s">
        <v>277</v>
      </c>
      <c r="C774" s="2" t="s">
        <v>29</v>
      </c>
      <c r="D774" s="2" t="s">
        <v>18</v>
      </c>
      <c r="E774" s="2">
        <v>152</v>
      </c>
      <c r="F774" s="2">
        <v>55632</v>
      </c>
      <c r="G774" s="2">
        <v>23200</v>
      </c>
      <c r="H774" s="2">
        <v>8</v>
      </c>
      <c r="I774" s="2">
        <v>49</v>
      </c>
      <c r="J774" s="2">
        <v>3</v>
      </c>
      <c r="K774" s="2">
        <v>4.4000000000000004</v>
      </c>
      <c r="L774" s="3">
        <f t="shared" si="36"/>
        <v>0.41702617198734543</v>
      </c>
      <c r="M774" s="4">
        <f t="shared" si="37"/>
        <v>366</v>
      </c>
      <c r="N774" s="2">
        <f t="shared" si="38"/>
        <v>19</v>
      </c>
    </row>
    <row r="775" spans="1:14" x14ac:dyDescent="0.25">
      <c r="A775" s="5" t="s">
        <v>290</v>
      </c>
      <c r="B775" s="5" t="s">
        <v>277</v>
      </c>
      <c r="C775" s="5" t="s">
        <v>29</v>
      </c>
      <c r="D775" s="5" t="s">
        <v>19</v>
      </c>
      <c r="E775" s="5">
        <v>49</v>
      </c>
      <c r="F775" s="5">
        <v>10094</v>
      </c>
      <c r="G775" s="5">
        <v>3281</v>
      </c>
      <c r="H775" s="5">
        <v>4</v>
      </c>
      <c r="I775" s="5">
        <v>49</v>
      </c>
      <c r="J775" s="5">
        <v>3</v>
      </c>
      <c r="K775" s="5">
        <v>4.0999999999999996</v>
      </c>
      <c r="L775" s="6">
        <f t="shared" si="36"/>
        <v>0.32504458093917177</v>
      </c>
      <c r="M775" s="7">
        <f t="shared" si="37"/>
        <v>206</v>
      </c>
      <c r="N775" s="5">
        <f t="shared" si="38"/>
        <v>12.25</v>
      </c>
    </row>
    <row r="776" spans="1:14" x14ac:dyDescent="0.25">
      <c r="A776" s="2" t="s">
        <v>291</v>
      </c>
      <c r="B776" s="2" t="s">
        <v>277</v>
      </c>
      <c r="C776" s="2" t="s">
        <v>31</v>
      </c>
      <c r="D776" s="2" t="s">
        <v>17</v>
      </c>
      <c r="E776" s="2">
        <v>55</v>
      </c>
      <c r="F776" s="2">
        <v>14245</v>
      </c>
      <c r="G776" s="2">
        <v>5493</v>
      </c>
      <c r="H776" s="2">
        <v>5</v>
      </c>
      <c r="I776" s="2">
        <v>38</v>
      </c>
      <c r="J776" s="2">
        <v>2</v>
      </c>
      <c r="K776" s="2">
        <v>4.2</v>
      </c>
      <c r="L776" s="3">
        <f t="shared" si="36"/>
        <v>0.3856089856089856</v>
      </c>
      <c r="M776" s="4">
        <f t="shared" si="37"/>
        <v>259</v>
      </c>
      <c r="N776" s="2">
        <f t="shared" si="38"/>
        <v>11</v>
      </c>
    </row>
    <row r="777" spans="1:14" x14ac:dyDescent="0.25">
      <c r="A777" s="5" t="s">
        <v>291</v>
      </c>
      <c r="B777" s="5" t="s">
        <v>277</v>
      </c>
      <c r="C777" s="5" t="s">
        <v>31</v>
      </c>
      <c r="D777" s="5" t="s">
        <v>18</v>
      </c>
      <c r="E777" s="5">
        <v>166</v>
      </c>
      <c r="F777" s="5">
        <v>68724</v>
      </c>
      <c r="G777" s="5">
        <v>25752</v>
      </c>
      <c r="H777" s="5">
        <v>8</v>
      </c>
      <c r="I777" s="5">
        <v>52</v>
      </c>
      <c r="J777" s="5">
        <v>3</v>
      </c>
      <c r="K777" s="5">
        <v>3.8</v>
      </c>
      <c r="L777" s="6">
        <f t="shared" si="36"/>
        <v>0.37471625632966649</v>
      </c>
      <c r="M777" s="7">
        <f t="shared" si="37"/>
        <v>414</v>
      </c>
      <c r="N777" s="5">
        <f t="shared" si="38"/>
        <v>20.75</v>
      </c>
    </row>
    <row r="778" spans="1:14" x14ac:dyDescent="0.25">
      <c r="A778" s="2" t="s">
        <v>291</v>
      </c>
      <c r="B778" s="2" t="s">
        <v>277</v>
      </c>
      <c r="C778" s="2" t="s">
        <v>31</v>
      </c>
      <c r="D778" s="2" t="s">
        <v>19</v>
      </c>
      <c r="E778" s="2">
        <v>42</v>
      </c>
      <c r="F778" s="2">
        <v>14700</v>
      </c>
      <c r="G778" s="2">
        <v>5354</v>
      </c>
      <c r="H778" s="2">
        <v>4</v>
      </c>
      <c r="I778" s="2">
        <v>65</v>
      </c>
      <c r="J778" s="2">
        <v>0</v>
      </c>
      <c r="K778" s="2">
        <v>3.9</v>
      </c>
      <c r="L778" s="3">
        <f t="shared" si="36"/>
        <v>0.36421768707482993</v>
      </c>
      <c r="M778" s="4">
        <f t="shared" si="37"/>
        <v>350</v>
      </c>
      <c r="N778" s="2">
        <f t="shared" si="38"/>
        <v>10.5</v>
      </c>
    </row>
    <row r="779" spans="1:14" x14ac:dyDescent="0.25">
      <c r="A779" s="5" t="s">
        <v>292</v>
      </c>
      <c r="B779" s="5" t="s">
        <v>277</v>
      </c>
      <c r="C779" s="5" t="s">
        <v>16</v>
      </c>
      <c r="D779" s="5" t="s">
        <v>17</v>
      </c>
      <c r="E779" s="5">
        <v>21</v>
      </c>
      <c r="F779" s="5">
        <v>4767</v>
      </c>
      <c r="G779" s="5">
        <v>1692</v>
      </c>
      <c r="H779" s="5">
        <v>3</v>
      </c>
      <c r="I779" s="5">
        <v>43</v>
      </c>
      <c r="J779" s="5">
        <v>2</v>
      </c>
      <c r="K779" s="5">
        <v>4.0999999999999996</v>
      </c>
      <c r="L779" s="6">
        <f t="shared" si="36"/>
        <v>0.35494021397105097</v>
      </c>
      <c r="M779" s="7">
        <f t="shared" si="37"/>
        <v>227</v>
      </c>
      <c r="N779" s="5">
        <f t="shared" si="38"/>
        <v>7</v>
      </c>
    </row>
    <row r="780" spans="1:14" x14ac:dyDescent="0.25">
      <c r="A780" s="2" t="s">
        <v>292</v>
      </c>
      <c r="B780" s="2" t="s">
        <v>277</v>
      </c>
      <c r="C780" s="2" t="s">
        <v>16</v>
      </c>
      <c r="D780" s="2" t="s">
        <v>18</v>
      </c>
      <c r="E780" s="2">
        <v>102</v>
      </c>
      <c r="F780" s="2">
        <v>39678</v>
      </c>
      <c r="G780" s="2">
        <v>11815</v>
      </c>
      <c r="H780" s="2">
        <v>6</v>
      </c>
      <c r="I780" s="2">
        <v>46</v>
      </c>
      <c r="J780" s="2">
        <v>1</v>
      </c>
      <c r="K780" s="2">
        <v>3.8</v>
      </c>
      <c r="L780" s="3">
        <f t="shared" si="36"/>
        <v>0.2977720651242502</v>
      </c>
      <c r="M780" s="4">
        <f t="shared" si="37"/>
        <v>389</v>
      </c>
      <c r="N780" s="2">
        <f t="shared" si="38"/>
        <v>17</v>
      </c>
    </row>
    <row r="781" spans="1:14" x14ac:dyDescent="0.25">
      <c r="A781" s="5" t="s">
        <v>292</v>
      </c>
      <c r="B781" s="5" t="s">
        <v>277</v>
      </c>
      <c r="C781" s="5" t="s">
        <v>16</v>
      </c>
      <c r="D781" s="5" t="s">
        <v>19</v>
      </c>
      <c r="E781" s="5">
        <v>32</v>
      </c>
      <c r="F781" s="5">
        <v>7072</v>
      </c>
      <c r="G781" s="5">
        <v>2833</v>
      </c>
      <c r="H781" s="5">
        <v>5</v>
      </c>
      <c r="I781" s="5">
        <v>55</v>
      </c>
      <c r="J781" s="5">
        <v>2</v>
      </c>
      <c r="K781" s="5">
        <v>4.0999999999999996</v>
      </c>
      <c r="L781" s="6">
        <f t="shared" si="36"/>
        <v>0.40059389140271495</v>
      </c>
      <c r="M781" s="7">
        <f t="shared" si="37"/>
        <v>221</v>
      </c>
      <c r="N781" s="5">
        <f t="shared" si="38"/>
        <v>6.4</v>
      </c>
    </row>
    <row r="782" spans="1:14" x14ac:dyDescent="0.25">
      <c r="A782" s="2" t="s">
        <v>293</v>
      </c>
      <c r="B782" s="2" t="s">
        <v>277</v>
      </c>
      <c r="C782" s="2" t="s">
        <v>21</v>
      </c>
      <c r="D782" s="2" t="s">
        <v>17</v>
      </c>
      <c r="E782" s="2">
        <v>17</v>
      </c>
      <c r="F782" s="2">
        <v>3094</v>
      </c>
      <c r="G782" s="2">
        <v>905</v>
      </c>
      <c r="H782" s="2">
        <v>5</v>
      </c>
      <c r="I782" s="2">
        <v>52</v>
      </c>
      <c r="J782" s="2">
        <v>1</v>
      </c>
      <c r="K782" s="2">
        <v>4.4000000000000004</v>
      </c>
      <c r="L782" s="3">
        <f t="shared" si="36"/>
        <v>0.29250161603102781</v>
      </c>
      <c r="M782" s="4">
        <f t="shared" si="37"/>
        <v>182</v>
      </c>
      <c r="N782" s="2">
        <f t="shared" si="38"/>
        <v>3.4</v>
      </c>
    </row>
    <row r="783" spans="1:14" x14ac:dyDescent="0.25">
      <c r="A783" s="5" t="s">
        <v>293</v>
      </c>
      <c r="B783" s="5" t="s">
        <v>277</v>
      </c>
      <c r="C783" s="5" t="s">
        <v>21</v>
      </c>
      <c r="D783" s="5" t="s">
        <v>18</v>
      </c>
      <c r="E783" s="5">
        <v>102</v>
      </c>
      <c r="F783" s="5">
        <v>32334</v>
      </c>
      <c r="G783" s="5">
        <v>11623</v>
      </c>
      <c r="H783" s="5">
        <v>9</v>
      </c>
      <c r="I783" s="5">
        <v>59</v>
      </c>
      <c r="J783" s="5">
        <v>3</v>
      </c>
      <c r="K783" s="5">
        <v>3.6</v>
      </c>
      <c r="L783" s="6">
        <f t="shared" si="36"/>
        <v>0.35946681511721407</v>
      </c>
      <c r="M783" s="7">
        <f t="shared" si="37"/>
        <v>317</v>
      </c>
      <c r="N783" s="5">
        <f t="shared" si="38"/>
        <v>11.333333333333334</v>
      </c>
    </row>
    <row r="784" spans="1:14" x14ac:dyDescent="0.25">
      <c r="A784" s="2" t="s">
        <v>293</v>
      </c>
      <c r="B784" s="2" t="s">
        <v>277</v>
      </c>
      <c r="C784" s="2" t="s">
        <v>21</v>
      </c>
      <c r="D784" s="2" t="s">
        <v>19</v>
      </c>
      <c r="E784" s="2">
        <v>49</v>
      </c>
      <c r="F784" s="2">
        <v>10339</v>
      </c>
      <c r="G784" s="2">
        <v>3557</v>
      </c>
      <c r="H784" s="2">
        <v>7</v>
      </c>
      <c r="I784" s="2">
        <v>53</v>
      </c>
      <c r="J784" s="2">
        <v>0</v>
      </c>
      <c r="K784" s="2">
        <v>4.3</v>
      </c>
      <c r="L784" s="3">
        <f t="shared" si="36"/>
        <v>0.34403714092271981</v>
      </c>
      <c r="M784" s="4">
        <f t="shared" si="37"/>
        <v>211</v>
      </c>
      <c r="N784" s="2">
        <f t="shared" si="38"/>
        <v>7</v>
      </c>
    </row>
    <row r="785" spans="1:14" x14ac:dyDescent="0.25">
      <c r="A785" s="5" t="s">
        <v>294</v>
      </c>
      <c r="B785" s="5" t="s">
        <v>277</v>
      </c>
      <c r="C785" s="5" t="s">
        <v>23</v>
      </c>
      <c r="D785" s="5" t="s">
        <v>17</v>
      </c>
      <c r="E785" s="5">
        <v>23</v>
      </c>
      <c r="F785" s="5">
        <v>6325</v>
      </c>
      <c r="G785" s="5">
        <v>1800</v>
      </c>
      <c r="H785" s="5">
        <v>4</v>
      </c>
      <c r="I785" s="5">
        <v>39</v>
      </c>
      <c r="J785" s="5">
        <v>2</v>
      </c>
      <c r="K785" s="5">
        <v>4.0999999999999996</v>
      </c>
      <c r="L785" s="6">
        <f t="shared" si="36"/>
        <v>0.28458498023715417</v>
      </c>
      <c r="M785" s="7">
        <f t="shared" si="37"/>
        <v>275</v>
      </c>
      <c r="N785" s="5">
        <f t="shared" si="38"/>
        <v>5.75</v>
      </c>
    </row>
    <row r="786" spans="1:14" x14ac:dyDescent="0.25">
      <c r="A786" s="2" t="s">
        <v>294</v>
      </c>
      <c r="B786" s="2" t="s">
        <v>277</v>
      </c>
      <c r="C786" s="2" t="s">
        <v>23</v>
      </c>
      <c r="D786" s="2" t="s">
        <v>18</v>
      </c>
      <c r="E786" s="2">
        <v>73</v>
      </c>
      <c r="F786" s="2">
        <v>30441</v>
      </c>
      <c r="G786" s="2">
        <v>11774</v>
      </c>
      <c r="H786" s="2">
        <v>9</v>
      </c>
      <c r="I786" s="2">
        <v>63</v>
      </c>
      <c r="J786" s="2">
        <v>4</v>
      </c>
      <c r="K786" s="2">
        <v>3.6</v>
      </c>
      <c r="L786" s="3">
        <f t="shared" si="36"/>
        <v>0.38678098616996814</v>
      </c>
      <c r="M786" s="4">
        <f t="shared" si="37"/>
        <v>417</v>
      </c>
      <c r="N786" s="2">
        <f t="shared" si="38"/>
        <v>8.1111111111111107</v>
      </c>
    </row>
    <row r="787" spans="1:14" x14ac:dyDescent="0.25">
      <c r="A787" s="5" t="s">
        <v>294</v>
      </c>
      <c r="B787" s="5" t="s">
        <v>277</v>
      </c>
      <c r="C787" s="5" t="s">
        <v>23</v>
      </c>
      <c r="D787" s="5" t="s">
        <v>19</v>
      </c>
      <c r="E787" s="5">
        <v>48</v>
      </c>
      <c r="F787" s="5">
        <v>15984</v>
      </c>
      <c r="G787" s="5">
        <v>5201</v>
      </c>
      <c r="H787" s="5">
        <v>7</v>
      </c>
      <c r="I787" s="5">
        <v>48</v>
      </c>
      <c r="J787" s="5">
        <v>0</v>
      </c>
      <c r="K787" s="5">
        <v>4.0999999999999996</v>
      </c>
      <c r="L787" s="6">
        <f t="shared" si="36"/>
        <v>0.32538788788788786</v>
      </c>
      <c r="M787" s="7">
        <f t="shared" si="37"/>
        <v>333</v>
      </c>
      <c r="N787" s="5">
        <f t="shared" si="38"/>
        <v>6.8571428571428568</v>
      </c>
    </row>
    <row r="788" spans="1:14" x14ac:dyDescent="0.25">
      <c r="A788" s="2" t="s">
        <v>295</v>
      </c>
      <c r="B788" s="2" t="s">
        <v>277</v>
      </c>
      <c r="C788" s="2" t="s">
        <v>25</v>
      </c>
      <c r="D788" s="2" t="s">
        <v>17</v>
      </c>
      <c r="E788" s="2">
        <v>34</v>
      </c>
      <c r="F788" s="2">
        <v>6120</v>
      </c>
      <c r="G788" s="2">
        <v>2379</v>
      </c>
      <c r="H788" s="2">
        <v>5</v>
      </c>
      <c r="I788" s="2">
        <v>47</v>
      </c>
      <c r="J788" s="2">
        <v>1</v>
      </c>
      <c r="K788" s="2">
        <v>4.4000000000000004</v>
      </c>
      <c r="L788" s="3">
        <f t="shared" si="36"/>
        <v>0.38872549019607844</v>
      </c>
      <c r="M788" s="4">
        <f t="shared" si="37"/>
        <v>180</v>
      </c>
      <c r="N788" s="2">
        <f t="shared" si="38"/>
        <v>6.8</v>
      </c>
    </row>
    <row r="789" spans="1:14" x14ac:dyDescent="0.25">
      <c r="A789" s="5" t="s">
        <v>295</v>
      </c>
      <c r="B789" s="5" t="s">
        <v>277</v>
      </c>
      <c r="C789" s="5" t="s">
        <v>25</v>
      </c>
      <c r="D789" s="5" t="s">
        <v>18</v>
      </c>
      <c r="E789" s="5">
        <v>120</v>
      </c>
      <c r="F789" s="5">
        <v>56640</v>
      </c>
      <c r="G789" s="5">
        <v>19708</v>
      </c>
      <c r="H789" s="5">
        <v>9</v>
      </c>
      <c r="I789" s="5">
        <v>60</v>
      </c>
      <c r="J789" s="5">
        <v>1</v>
      </c>
      <c r="K789" s="5">
        <v>4.2</v>
      </c>
      <c r="L789" s="6">
        <f t="shared" si="36"/>
        <v>0.34795197740112993</v>
      </c>
      <c r="M789" s="7">
        <f t="shared" si="37"/>
        <v>472</v>
      </c>
      <c r="N789" s="5">
        <f t="shared" si="38"/>
        <v>13.333333333333334</v>
      </c>
    </row>
    <row r="790" spans="1:14" x14ac:dyDescent="0.25">
      <c r="A790" s="2" t="s">
        <v>295</v>
      </c>
      <c r="B790" s="2" t="s">
        <v>277</v>
      </c>
      <c r="C790" s="2" t="s">
        <v>25</v>
      </c>
      <c r="D790" s="2" t="s">
        <v>19</v>
      </c>
      <c r="E790" s="2">
        <v>39</v>
      </c>
      <c r="F790" s="2">
        <v>13377</v>
      </c>
      <c r="G790" s="2">
        <v>4661</v>
      </c>
      <c r="H790" s="2">
        <v>4</v>
      </c>
      <c r="I790" s="2">
        <v>51</v>
      </c>
      <c r="J790" s="2">
        <v>0</v>
      </c>
      <c r="K790" s="2">
        <v>3.7</v>
      </c>
      <c r="L790" s="3">
        <f t="shared" si="36"/>
        <v>0.34843387904612394</v>
      </c>
      <c r="M790" s="4">
        <f t="shared" si="37"/>
        <v>343</v>
      </c>
      <c r="N790" s="2">
        <f t="shared" si="38"/>
        <v>9.75</v>
      </c>
    </row>
    <row r="791" spans="1:14" x14ac:dyDescent="0.25">
      <c r="A791" s="5" t="s">
        <v>296</v>
      </c>
      <c r="B791" s="5" t="s">
        <v>277</v>
      </c>
      <c r="C791" s="5" t="s">
        <v>27</v>
      </c>
      <c r="D791" s="5" t="s">
        <v>17</v>
      </c>
      <c r="E791" s="5">
        <v>54</v>
      </c>
      <c r="F791" s="5">
        <v>14310</v>
      </c>
      <c r="G791" s="5">
        <v>5642</v>
      </c>
      <c r="H791" s="5">
        <v>4</v>
      </c>
      <c r="I791" s="5">
        <v>48</v>
      </c>
      <c r="J791" s="5">
        <v>0</v>
      </c>
      <c r="K791" s="5">
        <v>4.0999999999999996</v>
      </c>
      <c r="L791" s="6">
        <f t="shared" si="36"/>
        <v>0.39426974143955273</v>
      </c>
      <c r="M791" s="7">
        <f t="shared" si="37"/>
        <v>265</v>
      </c>
      <c r="N791" s="5">
        <f t="shared" si="38"/>
        <v>13.5</v>
      </c>
    </row>
    <row r="792" spans="1:14" x14ac:dyDescent="0.25">
      <c r="A792" s="2" t="s">
        <v>296</v>
      </c>
      <c r="B792" s="2" t="s">
        <v>277</v>
      </c>
      <c r="C792" s="2" t="s">
        <v>27</v>
      </c>
      <c r="D792" s="2" t="s">
        <v>18</v>
      </c>
      <c r="E792" s="2">
        <v>133</v>
      </c>
      <c r="F792" s="2">
        <v>56924</v>
      </c>
      <c r="G792" s="2">
        <v>19948</v>
      </c>
      <c r="H792" s="2">
        <v>8</v>
      </c>
      <c r="I792" s="2">
        <v>68</v>
      </c>
      <c r="J792" s="2">
        <v>3</v>
      </c>
      <c r="K792" s="2">
        <v>4.8</v>
      </c>
      <c r="L792" s="3">
        <f t="shared" si="36"/>
        <v>0.35043215515424075</v>
      </c>
      <c r="M792" s="4">
        <f t="shared" si="37"/>
        <v>428</v>
      </c>
      <c r="N792" s="2">
        <f t="shared" si="38"/>
        <v>16.625</v>
      </c>
    </row>
    <row r="793" spans="1:14" x14ac:dyDescent="0.25">
      <c r="A793" s="5" t="s">
        <v>296</v>
      </c>
      <c r="B793" s="5" t="s">
        <v>277</v>
      </c>
      <c r="C793" s="5" t="s">
        <v>27</v>
      </c>
      <c r="D793" s="5" t="s">
        <v>19</v>
      </c>
      <c r="E793" s="5">
        <v>62</v>
      </c>
      <c r="F793" s="5">
        <v>19406</v>
      </c>
      <c r="G793" s="5">
        <v>5590</v>
      </c>
      <c r="H793" s="5">
        <v>4</v>
      </c>
      <c r="I793" s="5">
        <v>43</v>
      </c>
      <c r="J793" s="5">
        <v>1</v>
      </c>
      <c r="K793" s="5">
        <v>4.5</v>
      </c>
      <c r="L793" s="6">
        <f t="shared" si="36"/>
        <v>0.28805524064722249</v>
      </c>
      <c r="M793" s="7">
        <f t="shared" si="37"/>
        <v>313</v>
      </c>
      <c r="N793" s="5">
        <f t="shared" si="38"/>
        <v>15.5</v>
      </c>
    </row>
    <row r="794" spans="1:14" x14ac:dyDescent="0.25">
      <c r="A794" s="2" t="s">
        <v>297</v>
      </c>
      <c r="B794" s="2" t="s">
        <v>277</v>
      </c>
      <c r="C794" s="2" t="s">
        <v>29</v>
      </c>
      <c r="D794" s="2" t="s">
        <v>17</v>
      </c>
      <c r="E794" s="2">
        <v>30</v>
      </c>
      <c r="F794" s="2">
        <v>6180</v>
      </c>
      <c r="G794" s="2">
        <v>1775</v>
      </c>
      <c r="H794" s="2">
        <v>5</v>
      </c>
      <c r="I794" s="2">
        <v>50</v>
      </c>
      <c r="J794" s="2">
        <v>0</v>
      </c>
      <c r="K794" s="2">
        <v>3.8</v>
      </c>
      <c r="L794" s="3">
        <f t="shared" si="36"/>
        <v>0.2872168284789644</v>
      </c>
      <c r="M794" s="4">
        <f t="shared" si="37"/>
        <v>206</v>
      </c>
      <c r="N794" s="2">
        <f t="shared" si="38"/>
        <v>6</v>
      </c>
    </row>
    <row r="795" spans="1:14" x14ac:dyDescent="0.25">
      <c r="A795" s="5" t="s">
        <v>297</v>
      </c>
      <c r="B795" s="5" t="s">
        <v>277</v>
      </c>
      <c r="C795" s="5" t="s">
        <v>29</v>
      </c>
      <c r="D795" s="5" t="s">
        <v>18</v>
      </c>
      <c r="E795" s="5">
        <v>120</v>
      </c>
      <c r="F795" s="5">
        <v>43200</v>
      </c>
      <c r="G795" s="5">
        <v>16709</v>
      </c>
      <c r="H795" s="5">
        <v>9</v>
      </c>
      <c r="I795" s="5">
        <v>53</v>
      </c>
      <c r="J795" s="5">
        <v>1</v>
      </c>
      <c r="K795" s="5">
        <v>3.6</v>
      </c>
      <c r="L795" s="6">
        <f t="shared" si="36"/>
        <v>0.38678240740740738</v>
      </c>
      <c r="M795" s="7">
        <f t="shared" si="37"/>
        <v>360</v>
      </c>
      <c r="N795" s="5">
        <f t="shared" si="38"/>
        <v>13.333333333333334</v>
      </c>
    </row>
    <row r="796" spans="1:14" x14ac:dyDescent="0.25">
      <c r="A796" s="2" t="s">
        <v>297</v>
      </c>
      <c r="B796" s="2" t="s">
        <v>277</v>
      </c>
      <c r="C796" s="2" t="s">
        <v>29</v>
      </c>
      <c r="D796" s="2" t="s">
        <v>19</v>
      </c>
      <c r="E796" s="2">
        <v>89</v>
      </c>
      <c r="F796" s="2">
        <v>23407</v>
      </c>
      <c r="G796" s="2">
        <v>7336</v>
      </c>
      <c r="H796" s="2">
        <v>4</v>
      </c>
      <c r="I796" s="2">
        <v>59</v>
      </c>
      <c r="J796" s="2">
        <v>0</v>
      </c>
      <c r="K796" s="2">
        <v>3.9</v>
      </c>
      <c r="L796" s="3">
        <f t="shared" si="36"/>
        <v>0.31341051822104499</v>
      </c>
      <c r="M796" s="4">
        <f t="shared" si="37"/>
        <v>263</v>
      </c>
      <c r="N796" s="2">
        <f t="shared" si="38"/>
        <v>22.25</v>
      </c>
    </row>
    <row r="797" spans="1:14" x14ac:dyDescent="0.25">
      <c r="A797" s="5" t="s">
        <v>298</v>
      </c>
      <c r="B797" s="5" t="s">
        <v>277</v>
      </c>
      <c r="C797" s="5" t="s">
        <v>31</v>
      </c>
      <c r="D797" s="5" t="s">
        <v>17</v>
      </c>
      <c r="E797" s="5">
        <v>65</v>
      </c>
      <c r="F797" s="5">
        <v>16640</v>
      </c>
      <c r="G797" s="5">
        <v>4744</v>
      </c>
      <c r="H797" s="5">
        <v>4</v>
      </c>
      <c r="I797" s="5">
        <v>53</v>
      </c>
      <c r="J797" s="5">
        <v>2</v>
      </c>
      <c r="K797" s="5">
        <v>4.5</v>
      </c>
      <c r="L797" s="6">
        <f t="shared" si="36"/>
        <v>0.28509615384615383</v>
      </c>
      <c r="M797" s="7">
        <f t="shared" si="37"/>
        <v>256</v>
      </c>
      <c r="N797" s="5">
        <f t="shared" si="38"/>
        <v>16.25</v>
      </c>
    </row>
    <row r="798" spans="1:14" x14ac:dyDescent="0.25">
      <c r="A798" s="2" t="s">
        <v>298</v>
      </c>
      <c r="B798" s="2" t="s">
        <v>277</v>
      </c>
      <c r="C798" s="2" t="s">
        <v>31</v>
      </c>
      <c r="D798" s="2" t="s">
        <v>18</v>
      </c>
      <c r="E798" s="2">
        <v>150</v>
      </c>
      <c r="F798" s="2">
        <v>42600</v>
      </c>
      <c r="G798" s="2">
        <v>16831</v>
      </c>
      <c r="H798" s="2">
        <v>8</v>
      </c>
      <c r="I798" s="2">
        <v>53</v>
      </c>
      <c r="J798" s="2">
        <v>0</v>
      </c>
      <c r="K798" s="2">
        <v>3.5</v>
      </c>
      <c r="L798" s="3">
        <f t="shared" si="36"/>
        <v>0.395093896713615</v>
      </c>
      <c r="M798" s="4">
        <f t="shared" si="37"/>
        <v>284</v>
      </c>
      <c r="N798" s="2">
        <f t="shared" si="38"/>
        <v>18.75</v>
      </c>
    </row>
    <row r="799" spans="1:14" x14ac:dyDescent="0.25">
      <c r="A799" s="5" t="s">
        <v>298</v>
      </c>
      <c r="B799" s="5" t="s">
        <v>277</v>
      </c>
      <c r="C799" s="5" t="s">
        <v>31</v>
      </c>
      <c r="D799" s="5" t="s">
        <v>19</v>
      </c>
      <c r="E799" s="5">
        <v>57</v>
      </c>
      <c r="F799" s="5">
        <v>19152</v>
      </c>
      <c r="G799" s="5">
        <v>6413</v>
      </c>
      <c r="H799" s="5">
        <v>5</v>
      </c>
      <c r="I799" s="5">
        <v>47</v>
      </c>
      <c r="J799" s="5">
        <v>3</v>
      </c>
      <c r="K799" s="5">
        <v>4.4000000000000004</v>
      </c>
      <c r="L799" s="6">
        <f t="shared" si="36"/>
        <v>0.33484753550543023</v>
      </c>
      <c r="M799" s="7">
        <f t="shared" si="37"/>
        <v>336</v>
      </c>
      <c r="N799" s="5">
        <f t="shared" si="38"/>
        <v>11.4</v>
      </c>
    </row>
    <row r="800" spans="1:14" x14ac:dyDescent="0.25">
      <c r="A800" s="2" t="s">
        <v>299</v>
      </c>
      <c r="B800" s="2" t="s">
        <v>277</v>
      </c>
      <c r="C800" s="2" t="s">
        <v>16</v>
      </c>
      <c r="D800" s="2" t="s">
        <v>17</v>
      </c>
      <c r="E800" s="2">
        <v>28</v>
      </c>
      <c r="F800" s="2">
        <v>6944</v>
      </c>
      <c r="G800" s="2">
        <v>2562</v>
      </c>
      <c r="H800" s="2">
        <v>3</v>
      </c>
      <c r="I800" s="2">
        <v>41</v>
      </c>
      <c r="J800" s="2">
        <v>1</v>
      </c>
      <c r="K800" s="2">
        <v>4.5</v>
      </c>
      <c r="L800" s="3">
        <f t="shared" si="36"/>
        <v>0.36895161290322581</v>
      </c>
      <c r="M800" s="4">
        <f t="shared" si="37"/>
        <v>248</v>
      </c>
      <c r="N800" s="2">
        <f t="shared" si="38"/>
        <v>9.3333333333333339</v>
      </c>
    </row>
    <row r="801" spans="1:14" x14ac:dyDescent="0.25">
      <c r="A801" s="5" t="s">
        <v>299</v>
      </c>
      <c r="B801" s="5" t="s">
        <v>277</v>
      </c>
      <c r="C801" s="5" t="s">
        <v>16</v>
      </c>
      <c r="D801" s="5" t="s">
        <v>18</v>
      </c>
      <c r="E801" s="5">
        <v>81</v>
      </c>
      <c r="F801" s="5">
        <v>23166</v>
      </c>
      <c r="G801" s="5">
        <v>7925</v>
      </c>
      <c r="H801" s="5">
        <v>10</v>
      </c>
      <c r="I801" s="5">
        <v>63</v>
      </c>
      <c r="J801" s="5">
        <v>1</v>
      </c>
      <c r="K801" s="5">
        <v>4.2</v>
      </c>
      <c r="L801" s="6">
        <f t="shared" si="36"/>
        <v>0.34209617542950876</v>
      </c>
      <c r="M801" s="7">
        <f t="shared" si="37"/>
        <v>286</v>
      </c>
      <c r="N801" s="5">
        <f t="shared" si="38"/>
        <v>8.1</v>
      </c>
    </row>
    <row r="802" spans="1:14" x14ac:dyDescent="0.25">
      <c r="A802" s="2" t="s">
        <v>299</v>
      </c>
      <c r="B802" s="2" t="s">
        <v>277</v>
      </c>
      <c r="C802" s="2" t="s">
        <v>16</v>
      </c>
      <c r="D802" s="2" t="s">
        <v>19</v>
      </c>
      <c r="E802" s="2">
        <v>24</v>
      </c>
      <c r="F802" s="2">
        <v>4944</v>
      </c>
      <c r="G802" s="2">
        <v>1565</v>
      </c>
      <c r="H802" s="2">
        <v>5</v>
      </c>
      <c r="I802" s="2">
        <v>49</v>
      </c>
      <c r="J802" s="2">
        <v>3</v>
      </c>
      <c r="K802" s="2">
        <v>3.7</v>
      </c>
      <c r="L802" s="3">
        <f t="shared" si="36"/>
        <v>0.31654530744336568</v>
      </c>
      <c r="M802" s="4">
        <f t="shared" si="37"/>
        <v>206</v>
      </c>
      <c r="N802" s="2">
        <f t="shared" si="38"/>
        <v>4.8</v>
      </c>
    </row>
    <row r="803" spans="1:14" x14ac:dyDescent="0.25">
      <c r="A803" s="5" t="s">
        <v>300</v>
      </c>
      <c r="B803" s="5" t="s">
        <v>277</v>
      </c>
      <c r="C803" s="5" t="s">
        <v>21</v>
      </c>
      <c r="D803" s="5" t="s">
        <v>17</v>
      </c>
      <c r="E803" s="5">
        <v>25</v>
      </c>
      <c r="F803" s="5">
        <v>6200</v>
      </c>
      <c r="G803" s="5">
        <v>2205</v>
      </c>
      <c r="H803" s="5">
        <v>3</v>
      </c>
      <c r="I803" s="5">
        <v>39</v>
      </c>
      <c r="J803" s="5">
        <v>1</v>
      </c>
      <c r="K803" s="5">
        <v>4.5</v>
      </c>
      <c r="L803" s="6">
        <f t="shared" si="36"/>
        <v>0.35564516129032259</v>
      </c>
      <c r="M803" s="7">
        <f t="shared" si="37"/>
        <v>248</v>
      </c>
      <c r="N803" s="5">
        <f t="shared" si="38"/>
        <v>8.3333333333333339</v>
      </c>
    </row>
    <row r="804" spans="1:14" x14ac:dyDescent="0.25">
      <c r="A804" s="2" t="s">
        <v>300</v>
      </c>
      <c r="B804" s="2" t="s">
        <v>277</v>
      </c>
      <c r="C804" s="2" t="s">
        <v>21</v>
      </c>
      <c r="D804" s="2" t="s">
        <v>18</v>
      </c>
      <c r="E804" s="2">
        <v>53</v>
      </c>
      <c r="F804" s="2">
        <v>16960</v>
      </c>
      <c r="G804" s="2">
        <v>5722</v>
      </c>
      <c r="H804" s="2">
        <v>10</v>
      </c>
      <c r="I804" s="2">
        <v>57</v>
      </c>
      <c r="J804" s="2">
        <v>4</v>
      </c>
      <c r="K804" s="2">
        <v>4.7</v>
      </c>
      <c r="L804" s="3">
        <f t="shared" si="36"/>
        <v>0.33738207547169813</v>
      </c>
      <c r="M804" s="4">
        <f t="shared" si="37"/>
        <v>320</v>
      </c>
      <c r="N804" s="2">
        <f t="shared" si="38"/>
        <v>5.3</v>
      </c>
    </row>
    <row r="805" spans="1:14" x14ac:dyDescent="0.25">
      <c r="A805" s="5" t="s">
        <v>300</v>
      </c>
      <c r="B805" s="5" t="s">
        <v>277</v>
      </c>
      <c r="C805" s="5" t="s">
        <v>21</v>
      </c>
      <c r="D805" s="5" t="s">
        <v>19</v>
      </c>
      <c r="E805" s="5">
        <v>33</v>
      </c>
      <c r="F805" s="5">
        <v>6732</v>
      </c>
      <c r="G805" s="5">
        <v>2251</v>
      </c>
      <c r="H805" s="5">
        <v>5</v>
      </c>
      <c r="I805" s="5">
        <v>44</v>
      </c>
      <c r="J805" s="5">
        <v>1</v>
      </c>
      <c r="K805" s="5">
        <v>4</v>
      </c>
      <c r="L805" s="6">
        <f t="shared" si="36"/>
        <v>0.33437314319667261</v>
      </c>
      <c r="M805" s="7">
        <f t="shared" si="37"/>
        <v>204</v>
      </c>
      <c r="N805" s="5">
        <f t="shared" si="38"/>
        <v>6.6</v>
      </c>
    </row>
    <row r="806" spans="1:14" x14ac:dyDescent="0.25">
      <c r="A806" s="2" t="s">
        <v>301</v>
      </c>
      <c r="B806" s="2" t="s">
        <v>277</v>
      </c>
      <c r="C806" s="2" t="s">
        <v>23</v>
      </c>
      <c r="D806" s="2" t="s">
        <v>17</v>
      </c>
      <c r="E806" s="2">
        <v>46</v>
      </c>
      <c r="F806" s="2">
        <v>8694</v>
      </c>
      <c r="G806" s="2">
        <v>3264</v>
      </c>
      <c r="H806" s="2">
        <v>4</v>
      </c>
      <c r="I806" s="2">
        <v>52</v>
      </c>
      <c r="J806" s="2">
        <v>0</v>
      </c>
      <c r="K806" s="2">
        <v>3.9</v>
      </c>
      <c r="L806" s="3">
        <f t="shared" si="36"/>
        <v>0.3754313319530711</v>
      </c>
      <c r="M806" s="4">
        <f t="shared" si="37"/>
        <v>189</v>
      </c>
      <c r="N806" s="2">
        <f t="shared" si="38"/>
        <v>11.5</v>
      </c>
    </row>
    <row r="807" spans="1:14" x14ac:dyDescent="0.25">
      <c r="A807" s="5" t="s">
        <v>301</v>
      </c>
      <c r="B807" s="5" t="s">
        <v>277</v>
      </c>
      <c r="C807" s="5" t="s">
        <v>23</v>
      </c>
      <c r="D807" s="5" t="s">
        <v>18</v>
      </c>
      <c r="E807" s="5">
        <v>54</v>
      </c>
      <c r="F807" s="5">
        <v>25920</v>
      </c>
      <c r="G807" s="5">
        <v>9290</v>
      </c>
      <c r="H807" s="5">
        <v>7</v>
      </c>
      <c r="I807" s="5">
        <v>68</v>
      </c>
      <c r="J807" s="5">
        <v>3</v>
      </c>
      <c r="K807" s="5">
        <v>3.8</v>
      </c>
      <c r="L807" s="6">
        <f t="shared" si="36"/>
        <v>0.3584104938271605</v>
      </c>
      <c r="M807" s="7">
        <f t="shared" si="37"/>
        <v>480</v>
      </c>
      <c r="N807" s="5">
        <f t="shared" si="38"/>
        <v>7.7142857142857144</v>
      </c>
    </row>
    <row r="808" spans="1:14" x14ac:dyDescent="0.25">
      <c r="A808" s="2" t="s">
        <v>301</v>
      </c>
      <c r="B808" s="2" t="s">
        <v>277</v>
      </c>
      <c r="C808" s="2" t="s">
        <v>23</v>
      </c>
      <c r="D808" s="2" t="s">
        <v>19</v>
      </c>
      <c r="E808" s="2">
        <v>34</v>
      </c>
      <c r="F808" s="2">
        <v>11662</v>
      </c>
      <c r="G808" s="2">
        <v>4268</v>
      </c>
      <c r="H808" s="2">
        <v>6</v>
      </c>
      <c r="I808" s="2">
        <v>44</v>
      </c>
      <c r="J808" s="2">
        <v>1</v>
      </c>
      <c r="K808" s="2">
        <v>4.5999999999999996</v>
      </c>
      <c r="L808" s="3">
        <f t="shared" si="36"/>
        <v>0.36597496141313668</v>
      </c>
      <c r="M808" s="4">
        <f t="shared" si="37"/>
        <v>343</v>
      </c>
      <c r="N808" s="2">
        <f t="shared" si="38"/>
        <v>5.666666666666667</v>
      </c>
    </row>
    <row r="809" spans="1:14" x14ac:dyDescent="0.25">
      <c r="A809" s="5" t="s">
        <v>302</v>
      </c>
      <c r="B809" s="5" t="s">
        <v>277</v>
      </c>
      <c r="C809" s="5" t="s">
        <v>25</v>
      </c>
      <c r="D809" s="5" t="s">
        <v>17</v>
      </c>
      <c r="E809" s="5">
        <v>28</v>
      </c>
      <c r="F809" s="5">
        <v>7280</v>
      </c>
      <c r="G809" s="5">
        <v>2080</v>
      </c>
      <c r="H809" s="5">
        <v>5</v>
      </c>
      <c r="I809" s="5">
        <v>49</v>
      </c>
      <c r="J809" s="5">
        <v>1</v>
      </c>
      <c r="K809" s="5">
        <v>4.4000000000000004</v>
      </c>
      <c r="L809" s="6">
        <f t="shared" si="36"/>
        <v>0.2857142857142857</v>
      </c>
      <c r="M809" s="7">
        <f t="shared" si="37"/>
        <v>260</v>
      </c>
      <c r="N809" s="5">
        <f t="shared" si="38"/>
        <v>5.6</v>
      </c>
    </row>
    <row r="810" spans="1:14" x14ac:dyDescent="0.25">
      <c r="A810" s="2" t="s">
        <v>302</v>
      </c>
      <c r="B810" s="2" t="s">
        <v>277</v>
      </c>
      <c r="C810" s="2" t="s">
        <v>25</v>
      </c>
      <c r="D810" s="2" t="s">
        <v>18</v>
      </c>
      <c r="E810" s="2">
        <v>73</v>
      </c>
      <c r="F810" s="2">
        <v>24674</v>
      </c>
      <c r="G810" s="2">
        <v>8501</v>
      </c>
      <c r="H810" s="2">
        <v>8</v>
      </c>
      <c r="I810" s="2">
        <v>58</v>
      </c>
      <c r="J810" s="2">
        <v>1</v>
      </c>
      <c r="K810" s="2">
        <v>4.2</v>
      </c>
      <c r="L810" s="3">
        <f t="shared" si="36"/>
        <v>0.34453270649266432</v>
      </c>
      <c r="M810" s="4">
        <f t="shared" si="37"/>
        <v>338</v>
      </c>
      <c r="N810" s="2">
        <f t="shared" si="38"/>
        <v>9.125</v>
      </c>
    </row>
    <row r="811" spans="1:14" x14ac:dyDescent="0.25">
      <c r="A811" s="5" t="s">
        <v>302</v>
      </c>
      <c r="B811" s="5" t="s">
        <v>277</v>
      </c>
      <c r="C811" s="5" t="s">
        <v>25</v>
      </c>
      <c r="D811" s="5" t="s">
        <v>19</v>
      </c>
      <c r="E811" s="5">
        <v>41</v>
      </c>
      <c r="F811" s="5">
        <v>13325</v>
      </c>
      <c r="G811" s="5">
        <v>5299</v>
      </c>
      <c r="H811" s="5">
        <v>6</v>
      </c>
      <c r="I811" s="5">
        <v>43</v>
      </c>
      <c r="J811" s="5">
        <v>0</v>
      </c>
      <c r="K811" s="5">
        <v>3.9</v>
      </c>
      <c r="L811" s="6">
        <f t="shared" si="36"/>
        <v>0.39767354596622889</v>
      </c>
      <c r="M811" s="7">
        <f t="shared" si="37"/>
        <v>325</v>
      </c>
      <c r="N811" s="5">
        <f t="shared" si="38"/>
        <v>6.833333333333333</v>
      </c>
    </row>
    <row r="812" spans="1:14" x14ac:dyDescent="0.25">
      <c r="A812" s="2" t="s">
        <v>303</v>
      </c>
      <c r="B812" s="2" t="s">
        <v>277</v>
      </c>
      <c r="C812" s="2" t="s">
        <v>27</v>
      </c>
      <c r="D812" s="2" t="s">
        <v>17</v>
      </c>
      <c r="E812" s="2">
        <v>31</v>
      </c>
      <c r="F812" s="2">
        <v>7843</v>
      </c>
      <c r="G812" s="2">
        <v>2360</v>
      </c>
      <c r="H812" s="2">
        <v>4</v>
      </c>
      <c r="I812" s="2">
        <v>38</v>
      </c>
      <c r="J812" s="2">
        <v>0</v>
      </c>
      <c r="K812" s="2">
        <v>4.0999999999999996</v>
      </c>
      <c r="L812" s="3">
        <f t="shared" si="36"/>
        <v>0.30090526584215221</v>
      </c>
      <c r="M812" s="4">
        <f t="shared" si="37"/>
        <v>253</v>
      </c>
      <c r="N812" s="2">
        <f t="shared" si="38"/>
        <v>7.75</v>
      </c>
    </row>
    <row r="813" spans="1:14" x14ac:dyDescent="0.25">
      <c r="A813" s="5" t="s">
        <v>303</v>
      </c>
      <c r="B813" s="5" t="s">
        <v>277</v>
      </c>
      <c r="C813" s="5" t="s">
        <v>27</v>
      </c>
      <c r="D813" s="5" t="s">
        <v>18</v>
      </c>
      <c r="E813" s="5">
        <v>154</v>
      </c>
      <c r="F813" s="5">
        <v>51590</v>
      </c>
      <c r="G813" s="5">
        <v>17104</v>
      </c>
      <c r="H813" s="5">
        <v>9</v>
      </c>
      <c r="I813" s="5">
        <v>70</v>
      </c>
      <c r="J813" s="5">
        <v>2</v>
      </c>
      <c r="K813" s="5">
        <v>3.7</v>
      </c>
      <c r="L813" s="6">
        <f t="shared" si="36"/>
        <v>0.33153711959682108</v>
      </c>
      <c r="M813" s="7">
        <f t="shared" si="37"/>
        <v>335</v>
      </c>
      <c r="N813" s="5">
        <f t="shared" si="38"/>
        <v>17.111111111111111</v>
      </c>
    </row>
    <row r="814" spans="1:14" x14ac:dyDescent="0.25">
      <c r="A814" s="2" t="s">
        <v>303</v>
      </c>
      <c r="B814" s="2" t="s">
        <v>277</v>
      </c>
      <c r="C814" s="2" t="s">
        <v>27</v>
      </c>
      <c r="D814" s="2" t="s">
        <v>19</v>
      </c>
      <c r="E814" s="2">
        <v>74</v>
      </c>
      <c r="F814" s="2">
        <v>15688</v>
      </c>
      <c r="G814" s="2">
        <v>6319</v>
      </c>
      <c r="H814" s="2">
        <v>4</v>
      </c>
      <c r="I814" s="2">
        <v>57</v>
      </c>
      <c r="J814" s="2">
        <v>2</v>
      </c>
      <c r="K814" s="2">
        <v>3.8</v>
      </c>
      <c r="L814" s="3">
        <f t="shared" si="36"/>
        <v>0.40279194288628251</v>
      </c>
      <c r="M814" s="4">
        <f t="shared" si="37"/>
        <v>212</v>
      </c>
      <c r="N814" s="2">
        <f t="shared" si="38"/>
        <v>18.5</v>
      </c>
    </row>
    <row r="815" spans="1:14" x14ac:dyDescent="0.25">
      <c r="A815" s="5" t="s">
        <v>304</v>
      </c>
      <c r="B815" s="5" t="s">
        <v>277</v>
      </c>
      <c r="C815" s="5" t="s">
        <v>29</v>
      </c>
      <c r="D815" s="5" t="s">
        <v>17</v>
      </c>
      <c r="E815" s="5">
        <v>82</v>
      </c>
      <c r="F815" s="5">
        <v>22960</v>
      </c>
      <c r="G815" s="5">
        <v>6840</v>
      </c>
      <c r="H815" s="5">
        <v>4</v>
      </c>
      <c r="I815" s="5">
        <v>53</v>
      </c>
      <c r="J815" s="5">
        <v>1</v>
      </c>
      <c r="K815" s="5">
        <v>4.3</v>
      </c>
      <c r="L815" s="6">
        <f t="shared" si="36"/>
        <v>0.29790940766550522</v>
      </c>
      <c r="M815" s="7">
        <f t="shared" si="37"/>
        <v>280</v>
      </c>
      <c r="N815" s="5">
        <f t="shared" si="38"/>
        <v>20.5</v>
      </c>
    </row>
    <row r="816" spans="1:14" x14ac:dyDescent="0.25">
      <c r="A816" s="2" t="s">
        <v>304</v>
      </c>
      <c r="B816" s="2" t="s">
        <v>277</v>
      </c>
      <c r="C816" s="2" t="s">
        <v>29</v>
      </c>
      <c r="D816" s="2" t="s">
        <v>18</v>
      </c>
      <c r="E816" s="2">
        <v>182</v>
      </c>
      <c r="F816" s="2">
        <v>61334</v>
      </c>
      <c r="G816" s="2">
        <v>21498</v>
      </c>
      <c r="H816" s="2">
        <v>7</v>
      </c>
      <c r="I816" s="2">
        <v>60</v>
      </c>
      <c r="J816" s="2">
        <v>2</v>
      </c>
      <c r="K816" s="2">
        <v>4.3</v>
      </c>
      <c r="L816" s="3">
        <f t="shared" si="36"/>
        <v>0.35050705970587276</v>
      </c>
      <c r="M816" s="4">
        <f t="shared" si="37"/>
        <v>337</v>
      </c>
      <c r="N816" s="2">
        <f t="shared" si="38"/>
        <v>26</v>
      </c>
    </row>
    <row r="817" spans="1:14" x14ac:dyDescent="0.25">
      <c r="A817" s="5" t="s">
        <v>304</v>
      </c>
      <c r="B817" s="5" t="s">
        <v>277</v>
      </c>
      <c r="C817" s="5" t="s">
        <v>29</v>
      </c>
      <c r="D817" s="5" t="s">
        <v>19</v>
      </c>
      <c r="E817" s="5">
        <v>49</v>
      </c>
      <c r="F817" s="5">
        <v>11956</v>
      </c>
      <c r="G817" s="5">
        <v>4538</v>
      </c>
      <c r="H817" s="5">
        <v>4</v>
      </c>
      <c r="I817" s="5">
        <v>62</v>
      </c>
      <c r="J817" s="5">
        <v>0</v>
      </c>
      <c r="K817" s="5">
        <v>4</v>
      </c>
      <c r="L817" s="6">
        <f t="shared" si="36"/>
        <v>0.37955838072934089</v>
      </c>
      <c r="M817" s="7">
        <f t="shared" si="37"/>
        <v>244</v>
      </c>
      <c r="N817" s="5">
        <f t="shared" si="38"/>
        <v>12.25</v>
      </c>
    </row>
    <row r="818" spans="1:14" x14ac:dyDescent="0.25">
      <c r="A818" s="2" t="s">
        <v>305</v>
      </c>
      <c r="B818" s="2" t="s">
        <v>277</v>
      </c>
      <c r="C818" s="2" t="s">
        <v>31</v>
      </c>
      <c r="D818" s="2" t="s">
        <v>17</v>
      </c>
      <c r="E818" s="2">
        <v>45</v>
      </c>
      <c r="F818" s="2">
        <v>11160</v>
      </c>
      <c r="G818" s="2">
        <v>3410</v>
      </c>
      <c r="H818" s="2">
        <v>4</v>
      </c>
      <c r="I818" s="2">
        <v>46</v>
      </c>
      <c r="J818" s="2">
        <v>2</v>
      </c>
      <c r="K818" s="2">
        <v>4.0999999999999996</v>
      </c>
      <c r="L818" s="3">
        <f t="shared" si="36"/>
        <v>0.30555555555555558</v>
      </c>
      <c r="M818" s="4">
        <f t="shared" si="37"/>
        <v>248</v>
      </c>
      <c r="N818" s="2">
        <f t="shared" si="38"/>
        <v>11.25</v>
      </c>
    </row>
    <row r="819" spans="1:14" x14ac:dyDescent="0.25">
      <c r="A819" s="5" t="s">
        <v>305</v>
      </c>
      <c r="B819" s="5" t="s">
        <v>277</v>
      </c>
      <c r="C819" s="5" t="s">
        <v>31</v>
      </c>
      <c r="D819" s="5" t="s">
        <v>18</v>
      </c>
      <c r="E819" s="5">
        <v>185</v>
      </c>
      <c r="F819" s="5">
        <v>57535</v>
      </c>
      <c r="G819" s="5">
        <v>23302</v>
      </c>
      <c r="H819" s="5">
        <v>6</v>
      </c>
      <c r="I819" s="5">
        <v>62</v>
      </c>
      <c r="J819" s="5">
        <v>0</v>
      </c>
      <c r="K819" s="5">
        <v>3.5</v>
      </c>
      <c r="L819" s="6">
        <f t="shared" si="36"/>
        <v>0.40500564873555228</v>
      </c>
      <c r="M819" s="7">
        <f t="shared" si="37"/>
        <v>311</v>
      </c>
      <c r="N819" s="5">
        <f t="shared" si="38"/>
        <v>30.833333333333332</v>
      </c>
    </row>
    <row r="820" spans="1:14" x14ac:dyDescent="0.25">
      <c r="A820" s="2" t="s">
        <v>305</v>
      </c>
      <c r="B820" s="2" t="s">
        <v>277</v>
      </c>
      <c r="C820" s="2" t="s">
        <v>31</v>
      </c>
      <c r="D820" s="2" t="s">
        <v>19</v>
      </c>
      <c r="E820" s="2">
        <v>42</v>
      </c>
      <c r="F820" s="2">
        <v>13692</v>
      </c>
      <c r="G820" s="2">
        <v>4511</v>
      </c>
      <c r="H820" s="2">
        <v>4</v>
      </c>
      <c r="I820" s="2">
        <v>45</v>
      </c>
      <c r="J820" s="2">
        <v>2</v>
      </c>
      <c r="K820" s="2">
        <v>4.0999999999999996</v>
      </c>
      <c r="L820" s="3">
        <f t="shared" si="36"/>
        <v>0.329462459830558</v>
      </c>
      <c r="M820" s="4">
        <f t="shared" si="37"/>
        <v>326</v>
      </c>
      <c r="N820" s="2">
        <f t="shared" si="38"/>
        <v>10.5</v>
      </c>
    </row>
    <row r="821" spans="1:14" x14ac:dyDescent="0.25">
      <c r="A821" s="5" t="s">
        <v>306</v>
      </c>
      <c r="B821" s="5" t="s">
        <v>277</v>
      </c>
      <c r="C821" s="5" t="s">
        <v>16</v>
      </c>
      <c r="D821" s="5" t="s">
        <v>17</v>
      </c>
      <c r="E821" s="5">
        <v>29</v>
      </c>
      <c r="F821" s="5">
        <v>5568</v>
      </c>
      <c r="G821" s="5">
        <v>1791</v>
      </c>
      <c r="H821" s="5">
        <v>4</v>
      </c>
      <c r="I821" s="5">
        <v>41</v>
      </c>
      <c r="J821" s="5">
        <v>1</v>
      </c>
      <c r="K821" s="5">
        <v>4.3</v>
      </c>
      <c r="L821" s="6">
        <f t="shared" si="36"/>
        <v>0.32165948275862066</v>
      </c>
      <c r="M821" s="7">
        <f t="shared" si="37"/>
        <v>192</v>
      </c>
      <c r="N821" s="5">
        <f t="shared" si="38"/>
        <v>7.25</v>
      </c>
    </row>
    <row r="822" spans="1:14" x14ac:dyDescent="0.25">
      <c r="A822" s="2" t="s">
        <v>306</v>
      </c>
      <c r="B822" s="2" t="s">
        <v>277</v>
      </c>
      <c r="C822" s="2" t="s">
        <v>16</v>
      </c>
      <c r="D822" s="2" t="s">
        <v>18</v>
      </c>
      <c r="E822" s="2">
        <v>92</v>
      </c>
      <c r="F822" s="2">
        <v>32568</v>
      </c>
      <c r="G822" s="2">
        <v>9621</v>
      </c>
      <c r="H822" s="2">
        <v>8</v>
      </c>
      <c r="I822" s="2">
        <v>46</v>
      </c>
      <c r="J822" s="2">
        <v>2</v>
      </c>
      <c r="K822" s="2">
        <v>4.2</v>
      </c>
      <c r="L822" s="3">
        <f t="shared" si="36"/>
        <v>0.295412675018423</v>
      </c>
      <c r="M822" s="4">
        <f t="shared" si="37"/>
        <v>354</v>
      </c>
      <c r="N822" s="2">
        <f t="shared" si="38"/>
        <v>11.5</v>
      </c>
    </row>
    <row r="823" spans="1:14" x14ac:dyDescent="0.25">
      <c r="A823" s="5" t="s">
        <v>306</v>
      </c>
      <c r="B823" s="5" t="s">
        <v>277</v>
      </c>
      <c r="C823" s="5" t="s">
        <v>16</v>
      </c>
      <c r="D823" s="5" t="s">
        <v>19</v>
      </c>
      <c r="E823" s="5">
        <v>49</v>
      </c>
      <c r="F823" s="5">
        <v>13867</v>
      </c>
      <c r="G823" s="5">
        <v>4044</v>
      </c>
      <c r="H823" s="5">
        <v>5</v>
      </c>
      <c r="I823" s="5">
        <v>60</v>
      </c>
      <c r="J823" s="5">
        <v>2</v>
      </c>
      <c r="K823" s="5">
        <v>3.8</v>
      </c>
      <c r="L823" s="6">
        <f t="shared" si="36"/>
        <v>0.2916276051056465</v>
      </c>
      <c r="M823" s="7">
        <f t="shared" si="37"/>
        <v>283</v>
      </c>
      <c r="N823" s="5">
        <f t="shared" si="38"/>
        <v>9.8000000000000007</v>
      </c>
    </row>
    <row r="824" spans="1:14" x14ac:dyDescent="0.25">
      <c r="A824" s="2" t="s">
        <v>307</v>
      </c>
      <c r="B824" s="2" t="s">
        <v>308</v>
      </c>
      <c r="C824" s="2" t="s">
        <v>21</v>
      </c>
      <c r="D824" s="2" t="s">
        <v>17</v>
      </c>
      <c r="E824" s="2">
        <v>38</v>
      </c>
      <c r="F824" s="2">
        <v>9918</v>
      </c>
      <c r="G824" s="2">
        <v>4016</v>
      </c>
      <c r="H824" s="2">
        <v>3</v>
      </c>
      <c r="I824" s="2">
        <v>45</v>
      </c>
      <c r="J824" s="2">
        <v>2</v>
      </c>
      <c r="K824" s="2">
        <v>3.9</v>
      </c>
      <c r="L824" s="3">
        <f t="shared" si="36"/>
        <v>0.40492034684412181</v>
      </c>
      <c r="M824" s="4">
        <f t="shared" si="37"/>
        <v>261</v>
      </c>
      <c r="N824" s="2">
        <f t="shared" si="38"/>
        <v>12.666666666666666</v>
      </c>
    </row>
    <row r="825" spans="1:14" x14ac:dyDescent="0.25">
      <c r="A825" s="5" t="s">
        <v>307</v>
      </c>
      <c r="B825" s="5" t="s">
        <v>308</v>
      </c>
      <c r="C825" s="5" t="s">
        <v>21</v>
      </c>
      <c r="D825" s="5" t="s">
        <v>18</v>
      </c>
      <c r="E825" s="5">
        <v>84</v>
      </c>
      <c r="F825" s="5">
        <v>30744</v>
      </c>
      <c r="G825" s="5">
        <v>8827</v>
      </c>
      <c r="H825" s="5">
        <v>8</v>
      </c>
      <c r="I825" s="5">
        <v>63</v>
      </c>
      <c r="J825" s="5">
        <v>1</v>
      </c>
      <c r="K825" s="5">
        <v>4</v>
      </c>
      <c r="L825" s="6">
        <f t="shared" si="36"/>
        <v>0.28711293260473586</v>
      </c>
      <c r="M825" s="7">
        <f t="shared" si="37"/>
        <v>366</v>
      </c>
      <c r="N825" s="5">
        <f t="shared" si="38"/>
        <v>10.5</v>
      </c>
    </row>
    <row r="826" spans="1:14" x14ac:dyDescent="0.25">
      <c r="A826" s="2" t="s">
        <v>307</v>
      </c>
      <c r="B826" s="2" t="s">
        <v>308</v>
      </c>
      <c r="C826" s="2" t="s">
        <v>21</v>
      </c>
      <c r="D826" s="2" t="s">
        <v>19</v>
      </c>
      <c r="E826" s="2">
        <v>27</v>
      </c>
      <c r="F826" s="2">
        <v>6885</v>
      </c>
      <c r="G826" s="2">
        <v>2242</v>
      </c>
      <c r="H826" s="2">
        <v>5</v>
      </c>
      <c r="I826" s="2">
        <v>57</v>
      </c>
      <c r="J826" s="2">
        <v>0</v>
      </c>
      <c r="K826" s="2">
        <v>4.5</v>
      </c>
      <c r="L826" s="3">
        <f t="shared" si="36"/>
        <v>0.32563543936092954</v>
      </c>
      <c r="M826" s="4">
        <f t="shared" si="37"/>
        <v>255</v>
      </c>
      <c r="N826" s="2">
        <f t="shared" si="38"/>
        <v>5.4</v>
      </c>
    </row>
    <row r="827" spans="1:14" x14ac:dyDescent="0.25">
      <c r="A827" s="5" t="s">
        <v>309</v>
      </c>
      <c r="B827" s="5" t="s">
        <v>308</v>
      </c>
      <c r="C827" s="5" t="s">
        <v>23</v>
      </c>
      <c r="D827" s="5" t="s">
        <v>17</v>
      </c>
      <c r="E827" s="5">
        <v>18</v>
      </c>
      <c r="F827" s="5">
        <v>3564</v>
      </c>
      <c r="G827" s="5">
        <v>1293</v>
      </c>
      <c r="H827" s="5">
        <v>3</v>
      </c>
      <c r="I827" s="5">
        <v>47</v>
      </c>
      <c r="J827" s="5">
        <v>0</v>
      </c>
      <c r="K827" s="5">
        <v>4.3</v>
      </c>
      <c r="L827" s="6">
        <f t="shared" si="36"/>
        <v>0.36279461279461278</v>
      </c>
      <c r="M827" s="7">
        <f t="shared" si="37"/>
        <v>198</v>
      </c>
      <c r="N827" s="5">
        <f t="shared" si="38"/>
        <v>6</v>
      </c>
    </row>
    <row r="828" spans="1:14" x14ac:dyDescent="0.25">
      <c r="A828" s="2" t="s">
        <v>309</v>
      </c>
      <c r="B828" s="2" t="s">
        <v>308</v>
      </c>
      <c r="C828" s="2" t="s">
        <v>23</v>
      </c>
      <c r="D828" s="2" t="s">
        <v>18</v>
      </c>
      <c r="E828" s="2">
        <v>88</v>
      </c>
      <c r="F828" s="2">
        <v>24992</v>
      </c>
      <c r="G828" s="2">
        <v>8245</v>
      </c>
      <c r="H828" s="2">
        <v>9</v>
      </c>
      <c r="I828" s="2">
        <v>75</v>
      </c>
      <c r="J828" s="2">
        <v>2</v>
      </c>
      <c r="K828" s="2">
        <v>3.5</v>
      </c>
      <c r="L828" s="3">
        <f t="shared" si="36"/>
        <v>0.32990556978233032</v>
      </c>
      <c r="M828" s="4">
        <f t="shared" si="37"/>
        <v>284</v>
      </c>
      <c r="N828" s="2">
        <f t="shared" si="38"/>
        <v>9.7777777777777786</v>
      </c>
    </row>
    <row r="829" spans="1:14" x14ac:dyDescent="0.25">
      <c r="A829" s="5" t="s">
        <v>309</v>
      </c>
      <c r="B829" s="5" t="s">
        <v>308</v>
      </c>
      <c r="C829" s="5" t="s">
        <v>23</v>
      </c>
      <c r="D829" s="5" t="s">
        <v>19</v>
      </c>
      <c r="E829" s="5">
        <v>37</v>
      </c>
      <c r="F829" s="5">
        <v>11174</v>
      </c>
      <c r="G829" s="5">
        <v>3933</v>
      </c>
      <c r="H829" s="5">
        <v>4</v>
      </c>
      <c r="I829" s="5">
        <v>54</v>
      </c>
      <c r="J829" s="5">
        <v>1</v>
      </c>
      <c r="K829" s="5">
        <v>4.2</v>
      </c>
      <c r="L829" s="6">
        <f t="shared" si="36"/>
        <v>0.35197780562018971</v>
      </c>
      <c r="M829" s="7">
        <f t="shared" si="37"/>
        <v>302</v>
      </c>
      <c r="N829" s="5">
        <f t="shared" si="38"/>
        <v>9.25</v>
      </c>
    </row>
    <row r="830" spans="1:14" x14ac:dyDescent="0.25">
      <c r="A830" s="2" t="s">
        <v>310</v>
      </c>
      <c r="B830" s="2" t="s">
        <v>308</v>
      </c>
      <c r="C830" s="2" t="s">
        <v>25</v>
      </c>
      <c r="D830" s="2" t="s">
        <v>17</v>
      </c>
      <c r="E830" s="2">
        <v>44</v>
      </c>
      <c r="F830" s="2">
        <v>8272</v>
      </c>
      <c r="G830" s="2">
        <v>2631</v>
      </c>
      <c r="H830" s="2">
        <v>4</v>
      </c>
      <c r="I830" s="2">
        <v>43</v>
      </c>
      <c r="J830" s="2">
        <v>1</v>
      </c>
      <c r="K830" s="2">
        <v>4.3</v>
      </c>
      <c r="L830" s="3">
        <f t="shared" si="36"/>
        <v>0.31806092843326889</v>
      </c>
      <c r="M830" s="4">
        <f t="shared" si="37"/>
        <v>188</v>
      </c>
      <c r="N830" s="2">
        <f t="shared" si="38"/>
        <v>11</v>
      </c>
    </row>
    <row r="831" spans="1:14" x14ac:dyDescent="0.25">
      <c r="A831" s="5" t="s">
        <v>310</v>
      </c>
      <c r="B831" s="5" t="s">
        <v>308</v>
      </c>
      <c r="C831" s="5" t="s">
        <v>25</v>
      </c>
      <c r="D831" s="5" t="s">
        <v>18</v>
      </c>
      <c r="E831" s="5">
        <v>105</v>
      </c>
      <c r="F831" s="5">
        <v>35595</v>
      </c>
      <c r="G831" s="5">
        <v>12034</v>
      </c>
      <c r="H831" s="5">
        <v>9</v>
      </c>
      <c r="I831" s="5">
        <v>58</v>
      </c>
      <c r="J831" s="5">
        <v>3</v>
      </c>
      <c r="K831" s="5">
        <v>4.5999999999999996</v>
      </c>
      <c r="L831" s="6">
        <f t="shared" si="36"/>
        <v>0.3380811911785363</v>
      </c>
      <c r="M831" s="7">
        <f t="shared" si="37"/>
        <v>339</v>
      </c>
      <c r="N831" s="5">
        <f t="shared" si="38"/>
        <v>11.666666666666666</v>
      </c>
    </row>
    <row r="832" spans="1:14" x14ac:dyDescent="0.25">
      <c r="A832" s="2" t="s">
        <v>310</v>
      </c>
      <c r="B832" s="2" t="s">
        <v>308</v>
      </c>
      <c r="C832" s="2" t="s">
        <v>25</v>
      </c>
      <c r="D832" s="2" t="s">
        <v>19</v>
      </c>
      <c r="E832" s="2">
        <v>61</v>
      </c>
      <c r="F832" s="2">
        <v>15616</v>
      </c>
      <c r="G832" s="2">
        <v>4984</v>
      </c>
      <c r="H832" s="2">
        <v>7</v>
      </c>
      <c r="I832" s="2">
        <v>57</v>
      </c>
      <c r="J832" s="2">
        <v>2</v>
      </c>
      <c r="K832" s="2">
        <v>4.0999999999999996</v>
      </c>
      <c r="L832" s="3">
        <f t="shared" si="36"/>
        <v>0.31915983606557374</v>
      </c>
      <c r="M832" s="4">
        <f t="shared" si="37"/>
        <v>256</v>
      </c>
      <c r="N832" s="2">
        <f t="shared" si="38"/>
        <v>8.7142857142857135</v>
      </c>
    </row>
    <row r="833" spans="1:14" x14ac:dyDescent="0.25">
      <c r="A833" s="5" t="s">
        <v>311</v>
      </c>
      <c r="B833" s="5" t="s">
        <v>308</v>
      </c>
      <c r="C833" s="5" t="s">
        <v>27</v>
      </c>
      <c r="D833" s="5" t="s">
        <v>17</v>
      </c>
      <c r="E833" s="5">
        <v>58</v>
      </c>
      <c r="F833" s="5">
        <v>11542</v>
      </c>
      <c r="G833" s="5">
        <v>4414</v>
      </c>
      <c r="H833" s="5">
        <v>4</v>
      </c>
      <c r="I833" s="5">
        <v>41</v>
      </c>
      <c r="J833" s="5">
        <v>0</v>
      </c>
      <c r="K833" s="5">
        <v>4.0999999999999996</v>
      </c>
      <c r="L833" s="6">
        <f t="shared" si="36"/>
        <v>0.38242938832091494</v>
      </c>
      <c r="M833" s="7">
        <f t="shared" si="37"/>
        <v>199</v>
      </c>
      <c r="N833" s="5">
        <f t="shared" si="38"/>
        <v>14.5</v>
      </c>
    </row>
    <row r="834" spans="1:14" x14ac:dyDescent="0.25">
      <c r="A834" s="2" t="s">
        <v>311</v>
      </c>
      <c r="B834" s="2" t="s">
        <v>308</v>
      </c>
      <c r="C834" s="2" t="s">
        <v>27</v>
      </c>
      <c r="D834" s="2" t="s">
        <v>18</v>
      </c>
      <c r="E834" s="2">
        <v>169</v>
      </c>
      <c r="F834" s="2">
        <v>74022</v>
      </c>
      <c r="G834" s="2">
        <v>23381</v>
      </c>
      <c r="H834" s="2">
        <v>9</v>
      </c>
      <c r="I834" s="2">
        <v>66</v>
      </c>
      <c r="J834" s="2">
        <v>3</v>
      </c>
      <c r="K834" s="2">
        <v>4.0999999999999996</v>
      </c>
      <c r="L834" s="3">
        <f t="shared" ref="L834:L897" si="39">G834/F834</f>
        <v>0.31586555348409934</v>
      </c>
      <c r="M834" s="4">
        <f t="shared" ref="M834:M897" si="40">F834/E834</f>
        <v>438</v>
      </c>
      <c r="N834" s="2">
        <f t="shared" ref="N834:N897" si="41">E834/H834</f>
        <v>18.777777777777779</v>
      </c>
    </row>
    <row r="835" spans="1:14" x14ac:dyDescent="0.25">
      <c r="A835" s="5" t="s">
        <v>311</v>
      </c>
      <c r="B835" s="5" t="s">
        <v>308</v>
      </c>
      <c r="C835" s="5" t="s">
        <v>27</v>
      </c>
      <c r="D835" s="5" t="s">
        <v>19</v>
      </c>
      <c r="E835" s="5">
        <v>44</v>
      </c>
      <c r="F835" s="5">
        <v>11220</v>
      </c>
      <c r="G835" s="5">
        <v>4106</v>
      </c>
      <c r="H835" s="5">
        <v>6</v>
      </c>
      <c r="I835" s="5">
        <v>60</v>
      </c>
      <c r="J835" s="5">
        <v>1</v>
      </c>
      <c r="K835" s="5">
        <v>4</v>
      </c>
      <c r="L835" s="6">
        <f t="shared" si="39"/>
        <v>0.36595365418894832</v>
      </c>
      <c r="M835" s="7">
        <f t="shared" si="40"/>
        <v>255</v>
      </c>
      <c r="N835" s="5">
        <f t="shared" si="41"/>
        <v>7.333333333333333</v>
      </c>
    </row>
    <row r="836" spans="1:14" x14ac:dyDescent="0.25">
      <c r="A836" s="2" t="s">
        <v>312</v>
      </c>
      <c r="B836" s="2" t="s">
        <v>308</v>
      </c>
      <c r="C836" s="2" t="s">
        <v>29</v>
      </c>
      <c r="D836" s="2" t="s">
        <v>17</v>
      </c>
      <c r="E836" s="2">
        <v>44</v>
      </c>
      <c r="F836" s="2">
        <v>9856</v>
      </c>
      <c r="G836" s="2">
        <v>3145</v>
      </c>
      <c r="H836" s="2">
        <v>5</v>
      </c>
      <c r="I836" s="2">
        <v>55</v>
      </c>
      <c r="J836" s="2">
        <v>0</v>
      </c>
      <c r="K836" s="2">
        <v>4</v>
      </c>
      <c r="L836" s="3">
        <f t="shared" si="39"/>
        <v>0.31909496753246752</v>
      </c>
      <c r="M836" s="4">
        <f t="shared" si="40"/>
        <v>224</v>
      </c>
      <c r="N836" s="2">
        <f t="shared" si="41"/>
        <v>8.8000000000000007</v>
      </c>
    </row>
    <row r="837" spans="1:14" x14ac:dyDescent="0.25">
      <c r="A837" s="5" t="s">
        <v>312</v>
      </c>
      <c r="B837" s="5" t="s">
        <v>308</v>
      </c>
      <c r="C837" s="5" t="s">
        <v>29</v>
      </c>
      <c r="D837" s="5" t="s">
        <v>18</v>
      </c>
      <c r="E837" s="5">
        <v>98</v>
      </c>
      <c r="F837" s="5">
        <v>31164</v>
      </c>
      <c r="G837" s="5">
        <v>8729</v>
      </c>
      <c r="H837" s="5">
        <v>6</v>
      </c>
      <c r="I837" s="5">
        <v>61</v>
      </c>
      <c r="J837" s="5">
        <v>4</v>
      </c>
      <c r="K837" s="5">
        <v>4.2</v>
      </c>
      <c r="L837" s="6">
        <f t="shared" si="39"/>
        <v>0.28009883198562446</v>
      </c>
      <c r="M837" s="7">
        <f t="shared" si="40"/>
        <v>318</v>
      </c>
      <c r="N837" s="5">
        <f t="shared" si="41"/>
        <v>16.333333333333332</v>
      </c>
    </row>
    <row r="838" spans="1:14" x14ac:dyDescent="0.25">
      <c r="A838" s="2" t="s">
        <v>312</v>
      </c>
      <c r="B838" s="2" t="s">
        <v>308</v>
      </c>
      <c r="C838" s="2" t="s">
        <v>29</v>
      </c>
      <c r="D838" s="2" t="s">
        <v>19</v>
      </c>
      <c r="E838" s="2">
        <v>109</v>
      </c>
      <c r="F838" s="2">
        <v>23762</v>
      </c>
      <c r="G838" s="2">
        <v>7064</v>
      </c>
      <c r="H838" s="2">
        <v>5</v>
      </c>
      <c r="I838" s="2">
        <v>53</v>
      </c>
      <c r="J838" s="2">
        <v>1</v>
      </c>
      <c r="K838" s="2">
        <v>3.9</v>
      </c>
      <c r="L838" s="3">
        <f t="shared" si="39"/>
        <v>0.297281373621749</v>
      </c>
      <c r="M838" s="4">
        <f t="shared" si="40"/>
        <v>218</v>
      </c>
      <c r="N838" s="2">
        <f t="shared" si="41"/>
        <v>21.8</v>
      </c>
    </row>
    <row r="839" spans="1:14" x14ac:dyDescent="0.25">
      <c r="A839" s="5" t="s">
        <v>313</v>
      </c>
      <c r="B839" s="5" t="s">
        <v>308</v>
      </c>
      <c r="C839" s="5" t="s">
        <v>31</v>
      </c>
      <c r="D839" s="5" t="s">
        <v>17</v>
      </c>
      <c r="E839" s="5">
        <v>54</v>
      </c>
      <c r="F839" s="5">
        <v>12852</v>
      </c>
      <c r="G839" s="5">
        <v>4165</v>
      </c>
      <c r="H839" s="5">
        <v>5</v>
      </c>
      <c r="I839" s="5">
        <v>43</v>
      </c>
      <c r="J839" s="5">
        <v>0</v>
      </c>
      <c r="K839" s="5">
        <v>3.9</v>
      </c>
      <c r="L839" s="6">
        <f t="shared" si="39"/>
        <v>0.32407407407407407</v>
      </c>
      <c r="M839" s="7">
        <f t="shared" si="40"/>
        <v>238</v>
      </c>
      <c r="N839" s="5">
        <f t="shared" si="41"/>
        <v>10.8</v>
      </c>
    </row>
    <row r="840" spans="1:14" x14ac:dyDescent="0.25">
      <c r="A840" s="2" t="s">
        <v>313</v>
      </c>
      <c r="B840" s="2" t="s">
        <v>308</v>
      </c>
      <c r="C840" s="2" t="s">
        <v>31</v>
      </c>
      <c r="D840" s="2" t="s">
        <v>18</v>
      </c>
      <c r="E840" s="2">
        <v>132</v>
      </c>
      <c r="F840" s="2">
        <v>61512</v>
      </c>
      <c r="G840" s="2">
        <v>20565</v>
      </c>
      <c r="H840" s="2">
        <v>6</v>
      </c>
      <c r="I840" s="2">
        <v>73</v>
      </c>
      <c r="J840" s="2">
        <v>2</v>
      </c>
      <c r="K840" s="2">
        <v>4.5999999999999996</v>
      </c>
      <c r="L840" s="3">
        <f t="shared" si="39"/>
        <v>0.33432500975419432</v>
      </c>
      <c r="M840" s="4">
        <f t="shared" si="40"/>
        <v>466</v>
      </c>
      <c r="N840" s="2">
        <f t="shared" si="41"/>
        <v>22</v>
      </c>
    </row>
    <row r="841" spans="1:14" x14ac:dyDescent="0.25">
      <c r="A841" s="5" t="s">
        <v>313</v>
      </c>
      <c r="B841" s="5" t="s">
        <v>308</v>
      </c>
      <c r="C841" s="5" t="s">
        <v>31</v>
      </c>
      <c r="D841" s="5" t="s">
        <v>19</v>
      </c>
      <c r="E841" s="5">
        <v>63</v>
      </c>
      <c r="F841" s="5">
        <v>17955</v>
      </c>
      <c r="G841" s="5">
        <v>5161</v>
      </c>
      <c r="H841" s="5">
        <v>5</v>
      </c>
      <c r="I841" s="5">
        <v>51</v>
      </c>
      <c r="J841" s="5">
        <v>3</v>
      </c>
      <c r="K841" s="5">
        <v>4.5999999999999996</v>
      </c>
      <c r="L841" s="6">
        <f t="shared" si="39"/>
        <v>0.28744082428292955</v>
      </c>
      <c r="M841" s="7">
        <f t="shared" si="40"/>
        <v>285</v>
      </c>
      <c r="N841" s="5">
        <f t="shared" si="41"/>
        <v>12.6</v>
      </c>
    </row>
    <row r="842" spans="1:14" x14ac:dyDescent="0.25">
      <c r="A842" s="2" t="s">
        <v>314</v>
      </c>
      <c r="B842" s="2" t="s">
        <v>308</v>
      </c>
      <c r="C842" s="2" t="s">
        <v>16</v>
      </c>
      <c r="D842" s="2" t="s">
        <v>17</v>
      </c>
      <c r="E842" s="2">
        <v>36</v>
      </c>
      <c r="F842" s="2">
        <v>10008</v>
      </c>
      <c r="G842" s="2">
        <v>3460</v>
      </c>
      <c r="H842" s="2">
        <v>5</v>
      </c>
      <c r="I842" s="2">
        <v>35</v>
      </c>
      <c r="J842" s="2">
        <v>0</v>
      </c>
      <c r="K842" s="2">
        <v>4.3</v>
      </c>
      <c r="L842" s="3">
        <f t="shared" si="39"/>
        <v>0.34572342126298961</v>
      </c>
      <c r="M842" s="4">
        <f t="shared" si="40"/>
        <v>278</v>
      </c>
      <c r="N842" s="2">
        <f t="shared" si="41"/>
        <v>7.2</v>
      </c>
    </row>
    <row r="843" spans="1:14" x14ac:dyDescent="0.25">
      <c r="A843" s="5" t="s">
        <v>314</v>
      </c>
      <c r="B843" s="5" t="s">
        <v>308</v>
      </c>
      <c r="C843" s="5" t="s">
        <v>16</v>
      </c>
      <c r="D843" s="5" t="s">
        <v>18</v>
      </c>
      <c r="E843" s="5">
        <v>88</v>
      </c>
      <c r="F843" s="5">
        <v>32296</v>
      </c>
      <c r="G843" s="5">
        <v>9567</v>
      </c>
      <c r="H843" s="5">
        <v>9</v>
      </c>
      <c r="I843" s="5">
        <v>62</v>
      </c>
      <c r="J843" s="5">
        <v>4</v>
      </c>
      <c r="K843" s="5">
        <v>4.7</v>
      </c>
      <c r="L843" s="6">
        <f t="shared" si="39"/>
        <v>0.2962286351250929</v>
      </c>
      <c r="M843" s="7">
        <f t="shared" si="40"/>
        <v>367</v>
      </c>
      <c r="N843" s="5">
        <f t="shared" si="41"/>
        <v>9.7777777777777786</v>
      </c>
    </row>
    <row r="844" spans="1:14" x14ac:dyDescent="0.25">
      <c r="A844" s="2" t="s">
        <v>314</v>
      </c>
      <c r="B844" s="2" t="s">
        <v>308</v>
      </c>
      <c r="C844" s="2" t="s">
        <v>16</v>
      </c>
      <c r="D844" s="2" t="s">
        <v>19</v>
      </c>
      <c r="E844" s="2">
        <v>34</v>
      </c>
      <c r="F844" s="2">
        <v>10982</v>
      </c>
      <c r="G844" s="2">
        <v>4181</v>
      </c>
      <c r="H844" s="2">
        <v>7</v>
      </c>
      <c r="I844" s="2">
        <v>65</v>
      </c>
      <c r="J844" s="2">
        <v>2</v>
      </c>
      <c r="K844" s="2">
        <v>4.0999999999999996</v>
      </c>
      <c r="L844" s="3">
        <f t="shared" si="39"/>
        <v>0.38071389546530687</v>
      </c>
      <c r="M844" s="4">
        <f t="shared" si="40"/>
        <v>323</v>
      </c>
      <c r="N844" s="2">
        <f t="shared" si="41"/>
        <v>4.8571428571428568</v>
      </c>
    </row>
    <row r="845" spans="1:14" x14ac:dyDescent="0.25">
      <c r="A845" s="5" t="s">
        <v>315</v>
      </c>
      <c r="B845" s="5" t="s">
        <v>308</v>
      </c>
      <c r="C845" s="5" t="s">
        <v>21</v>
      </c>
      <c r="D845" s="5" t="s">
        <v>17</v>
      </c>
      <c r="E845" s="5">
        <v>20</v>
      </c>
      <c r="F845" s="5">
        <v>3660</v>
      </c>
      <c r="G845" s="5">
        <v>1113</v>
      </c>
      <c r="H845" s="5">
        <v>5</v>
      </c>
      <c r="I845" s="5">
        <v>41</v>
      </c>
      <c r="J845" s="5">
        <v>0</v>
      </c>
      <c r="K845" s="5">
        <v>3.9</v>
      </c>
      <c r="L845" s="6">
        <f t="shared" si="39"/>
        <v>0.3040983606557377</v>
      </c>
      <c r="M845" s="7">
        <f t="shared" si="40"/>
        <v>183</v>
      </c>
      <c r="N845" s="5">
        <f t="shared" si="41"/>
        <v>4</v>
      </c>
    </row>
    <row r="846" spans="1:14" x14ac:dyDescent="0.25">
      <c r="A846" s="2" t="s">
        <v>315</v>
      </c>
      <c r="B846" s="2" t="s">
        <v>308</v>
      </c>
      <c r="C846" s="2" t="s">
        <v>21</v>
      </c>
      <c r="D846" s="2" t="s">
        <v>18</v>
      </c>
      <c r="E846" s="2">
        <v>80</v>
      </c>
      <c r="F846" s="2">
        <v>31120</v>
      </c>
      <c r="G846" s="2">
        <v>12224</v>
      </c>
      <c r="H846" s="2">
        <v>8</v>
      </c>
      <c r="I846" s="2">
        <v>55</v>
      </c>
      <c r="J846" s="2">
        <v>4</v>
      </c>
      <c r="K846" s="2">
        <v>4.5</v>
      </c>
      <c r="L846" s="3">
        <f t="shared" si="39"/>
        <v>0.3928020565552699</v>
      </c>
      <c r="M846" s="4">
        <f t="shared" si="40"/>
        <v>389</v>
      </c>
      <c r="N846" s="2">
        <f t="shared" si="41"/>
        <v>10</v>
      </c>
    </row>
    <row r="847" spans="1:14" x14ac:dyDescent="0.25">
      <c r="A847" s="5" t="s">
        <v>315</v>
      </c>
      <c r="B847" s="5" t="s">
        <v>308</v>
      </c>
      <c r="C847" s="5" t="s">
        <v>21</v>
      </c>
      <c r="D847" s="5" t="s">
        <v>19</v>
      </c>
      <c r="E847" s="5">
        <v>26</v>
      </c>
      <c r="F847" s="5">
        <v>5408</v>
      </c>
      <c r="G847" s="5">
        <v>1948</v>
      </c>
      <c r="H847" s="5">
        <v>5</v>
      </c>
      <c r="I847" s="5">
        <v>61</v>
      </c>
      <c r="J847" s="5">
        <v>0</v>
      </c>
      <c r="K847" s="5">
        <v>4.3</v>
      </c>
      <c r="L847" s="6">
        <f t="shared" si="39"/>
        <v>0.36020710059171596</v>
      </c>
      <c r="M847" s="7">
        <f t="shared" si="40"/>
        <v>208</v>
      </c>
      <c r="N847" s="5">
        <f t="shared" si="41"/>
        <v>5.2</v>
      </c>
    </row>
    <row r="848" spans="1:14" x14ac:dyDescent="0.25">
      <c r="A848" s="2" t="s">
        <v>316</v>
      </c>
      <c r="B848" s="2" t="s">
        <v>308</v>
      </c>
      <c r="C848" s="2" t="s">
        <v>23</v>
      </c>
      <c r="D848" s="2" t="s">
        <v>17</v>
      </c>
      <c r="E848" s="2">
        <v>27</v>
      </c>
      <c r="F848" s="2">
        <v>6426</v>
      </c>
      <c r="G848" s="2">
        <v>2044</v>
      </c>
      <c r="H848" s="2">
        <v>5</v>
      </c>
      <c r="I848" s="2">
        <v>53</v>
      </c>
      <c r="J848" s="2">
        <v>0</v>
      </c>
      <c r="K848" s="2">
        <v>3.9</v>
      </c>
      <c r="L848" s="3">
        <f t="shared" si="39"/>
        <v>0.31808278867102396</v>
      </c>
      <c r="M848" s="4">
        <f t="shared" si="40"/>
        <v>238</v>
      </c>
      <c r="N848" s="2">
        <f t="shared" si="41"/>
        <v>5.4</v>
      </c>
    </row>
    <row r="849" spans="1:14" x14ac:dyDescent="0.25">
      <c r="A849" s="5" t="s">
        <v>316</v>
      </c>
      <c r="B849" s="5" t="s">
        <v>308</v>
      </c>
      <c r="C849" s="5" t="s">
        <v>23</v>
      </c>
      <c r="D849" s="5" t="s">
        <v>18</v>
      </c>
      <c r="E849" s="5">
        <v>107</v>
      </c>
      <c r="F849" s="5">
        <v>36594</v>
      </c>
      <c r="G849" s="5">
        <v>13688</v>
      </c>
      <c r="H849" s="5">
        <v>7</v>
      </c>
      <c r="I849" s="5">
        <v>65</v>
      </c>
      <c r="J849" s="5">
        <v>3</v>
      </c>
      <c r="K849" s="5">
        <v>4.0999999999999996</v>
      </c>
      <c r="L849" s="6">
        <f t="shared" si="39"/>
        <v>0.37405039077444391</v>
      </c>
      <c r="M849" s="7">
        <f t="shared" si="40"/>
        <v>342</v>
      </c>
      <c r="N849" s="5">
        <f t="shared" si="41"/>
        <v>15.285714285714286</v>
      </c>
    </row>
    <row r="850" spans="1:14" x14ac:dyDescent="0.25">
      <c r="A850" s="2" t="s">
        <v>316</v>
      </c>
      <c r="B850" s="2" t="s">
        <v>308</v>
      </c>
      <c r="C850" s="2" t="s">
        <v>23</v>
      </c>
      <c r="D850" s="2" t="s">
        <v>19</v>
      </c>
      <c r="E850" s="2">
        <v>37</v>
      </c>
      <c r="F850" s="2">
        <v>8806</v>
      </c>
      <c r="G850" s="2">
        <v>2719</v>
      </c>
      <c r="H850" s="2">
        <v>5</v>
      </c>
      <c r="I850" s="2">
        <v>40</v>
      </c>
      <c r="J850" s="2">
        <v>2</v>
      </c>
      <c r="K850" s="2">
        <v>3.8</v>
      </c>
      <c r="L850" s="3">
        <f t="shared" si="39"/>
        <v>0.30876674994322051</v>
      </c>
      <c r="M850" s="4">
        <f t="shared" si="40"/>
        <v>238</v>
      </c>
      <c r="N850" s="2">
        <f t="shared" si="41"/>
        <v>7.4</v>
      </c>
    </row>
    <row r="851" spans="1:14" x14ac:dyDescent="0.25">
      <c r="A851" s="5" t="s">
        <v>317</v>
      </c>
      <c r="B851" s="5" t="s">
        <v>308</v>
      </c>
      <c r="C851" s="5" t="s">
        <v>25</v>
      </c>
      <c r="D851" s="5" t="s">
        <v>17</v>
      </c>
      <c r="E851" s="5">
        <v>32</v>
      </c>
      <c r="F851" s="5">
        <v>8928</v>
      </c>
      <c r="G851" s="5">
        <v>3345</v>
      </c>
      <c r="H851" s="5">
        <v>5</v>
      </c>
      <c r="I851" s="5">
        <v>42</v>
      </c>
      <c r="J851" s="5">
        <v>0</v>
      </c>
      <c r="K851" s="5">
        <v>3.9</v>
      </c>
      <c r="L851" s="6">
        <f t="shared" si="39"/>
        <v>0.37466397849462363</v>
      </c>
      <c r="M851" s="7">
        <f t="shared" si="40"/>
        <v>279</v>
      </c>
      <c r="N851" s="5">
        <f t="shared" si="41"/>
        <v>6.4</v>
      </c>
    </row>
    <row r="852" spans="1:14" x14ac:dyDescent="0.25">
      <c r="A852" s="2" t="s">
        <v>317</v>
      </c>
      <c r="B852" s="2" t="s">
        <v>308</v>
      </c>
      <c r="C852" s="2" t="s">
        <v>25</v>
      </c>
      <c r="D852" s="2" t="s">
        <v>18</v>
      </c>
      <c r="E852" s="2">
        <v>106</v>
      </c>
      <c r="F852" s="2">
        <v>32754</v>
      </c>
      <c r="G852" s="2">
        <v>10130</v>
      </c>
      <c r="H852" s="2">
        <v>9</v>
      </c>
      <c r="I852" s="2">
        <v>66</v>
      </c>
      <c r="J852" s="2">
        <v>1</v>
      </c>
      <c r="K852" s="2">
        <v>4.8</v>
      </c>
      <c r="L852" s="3">
        <f t="shared" si="39"/>
        <v>0.3092752030286377</v>
      </c>
      <c r="M852" s="4">
        <f t="shared" si="40"/>
        <v>309</v>
      </c>
      <c r="N852" s="2">
        <f t="shared" si="41"/>
        <v>11.777777777777779</v>
      </c>
    </row>
    <row r="853" spans="1:14" x14ac:dyDescent="0.25">
      <c r="A853" s="5" t="s">
        <v>317</v>
      </c>
      <c r="B853" s="5" t="s">
        <v>308</v>
      </c>
      <c r="C853" s="5" t="s">
        <v>25</v>
      </c>
      <c r="D853" s="5" t="s">
        <v>19</v>
      </c>
      <c r="E853" s="5">
        <v>53</v>
      </c>
      <c r="F853" s="5">
        <v>18338</v>
      </c>
      <c r="G853" s="5">
        <v>5922</v>
      </c>
      <c r="H853" s="5">
        <v>5</v>
      </c>
      <c r="I853" s="5">
        <v>40</v>
      </c>
      <c r="J853" s="5">
        <v>2</v>
      </c>
      <c r="K853" s="5">
        <v>4.0999999999999996</v>
      </c>
      <c r="L853" s="6">
        <f t="shared" si="39"/>
        <v>0.32293597993238082</v>
      </c>
      <c r="M853" s="7">
        <f t="shared" si="40"/>
        <v>346</v>
      </c>
      <c r="N853" s="5">
        <f t="shared" si="41"/>
        <v>10.6</v>
      </c>
    </row>
    <row r="854" spans="1:14" x14ac:dyDescent="0.25">
      <c r="A854" s="2" t="s">
        <v>318</v>
      </c>
      <c r="B854" s="2" t="s">
        <v>308</v>
      </c>
      <c r="C854" s="2" t="s">
        <v>27</v>
      </c>
      <c r="D854" s="2" t="s">
        <v>17</v>
      </c>
      <c r="E854" s="2">
        <v>26</v>
      </c>
      <c r="F854" s="2">
        <v>6292</v>
      </c>
      <c r="G854" s="2">
        <v>2242</v>
      </c>
      <c r="H854" s="2">
        <v>5</v>
      </c>
      <c r="I854" s="2">
        <v>54</v>
      </c>
      <c r="J854" s="2">
        <v>2</v>
      </c>
      <c r="K854" s="2">
        <v>4.0999999999999996</v>
      </c>
      <c r="L854" s="3">
        <f t="shared" si="39"/>
        <v>0.35632549268912905</v>
      </c>
      <c r="M854" s="4">
        <f t="shared" si="40"/>
        <v>242</v>
      </c>
      <c r="N854" s="2">
        <f t="shared" si="41"/>
        <v>5.2</v>
      </c>
    </row>
    <row r="855" spans="1:14" x14ac:dyDescent="0.25">
      <c r="A855" s="5" t="s">
        <v>318</v>
      </c>
      <c r="B855" s="5" t="s">
        <v>308</v>
      </c>
      <c r="C855" s="5" t="s">
        <v>27</v>
      </c>
      <c r="D855" s="5" t="s">
        <v>18</v>
      </c>
      <c r="E855" s="5">
        <v>97</v>
      </c>
      <c r="F855" s="5">
        <v>45881</v>
      </c>
      <c r="G855" s="5">
        <v>14843</v>
      </c>
      <c r="H855" s="5">
        <v>10</v>
      </c>
      <c r="I855" s="5">
        <v>75</v>
      </c>
      <c r="J855" s="5">
        <v>3</v>
      </c>
      <c r="K855" s="5">
        <v>4.8</v>
      </c>
      <c r="L855" s="6">
        <f t="shared" si="39"/>
        <v>0.32351082147294086</v>
      </c>
      <c r="M855" s="7">
        <f t="shared" si="40"/>
        <v>473</v>
      </c>
      <c r="N855" s="5">
        <f t="shared" si="41"/>
        <v>9.6999999999999993</v>
      </c>
    </row>
    <row r="856" spans="1:14" x14ac:dyDescent="0.25">
      <c r="A856" s="2" t="s">
        <v>318</v>
      </c>
      <c r="B856" s="2" t="s">
        <v>308</v>
      </c>
      <c r="C856" s="2" t="s">
        <v>27</v>
      </c>
      <c r="D856" s="2" t="s">
        <v>19</v>
      </c>
      <c r="E856" s="2">
        <v>46</v>
      </c>
      <c r="F856" s="2">
        <v>13386</v>
      </c>
      <c r="G856" s="2">
        <v>5467</v>
      </c>
      <c r="H856" s="2">
        <v>7</v>
      </c>
      <c r="I856" s="2">
        <v>52</v>
      </c>
      <c r="J856" s="2">
        <v>2</v>
      </c>
      <c r="K856" s="2">
        <v>3.6</v>
      </c>
      <c r="L856" s="3">
        <f t="shared" si="39"/>
        <v>0.40841177349469593</v>
      </c>
      <c r="M856" s="4">
        <f t="shared" si="40"/>
        <v>291</v>
      </c>
      <c r="N856" s="2">
        <f t="shared" si="41"/>
        <v>6.5714285714285712</v>
      </c>
    </row>
    <row r="857" spans="1:14" x14ac:dyDescent="0.25">
      <c r="A857" s="5" t="s">
        <v>319</v>
      </c>
      <c r="B857" s="5" t="s">
        <v>308</v>
      </c>
      <c r="C857" s="5" t="s">
        <v>29</v>
      </c>
      <c r="D857" s="5" t="s">
        <v>17</v>
      </c>
      <c r="E857" s="5">
        <v>78</v>
      </c>
      <c r="F857" s="5">
        <v>17238</v>
      </c>
      <c r="G857" s="5">
        <v>5865</v>
      </c>
      <c r="H857" s="5">
        <v>5</v>
      </c>
      <c r="I857" s="5">
        <v>53</v>
      </c>
      <c r="J857" s="5">
        <v>1</v>
      </c>
      <c r="K857" s="5">
        <v>4.4000000000000004</v>
      </c>
      <c r="L857" s="6">
        <f t="shared" si="39"/>
        <v>0.34023668639053256</v>
      </c>
      <c r="M857" s="7">
        <f t="shared" si="40"/>
        <v>221</v>
      </c>
      <c r="N857" s="5">
        <f t="shared" si="41"/>
        <v>15.6</v>
      </c>
    </row>
    <row r="858" spans="1:14" x14ac:dyDescent="0.25">
      <c r="A858" s="2" t="s">
        <v>319</v>
      </c>
      <c r="B858" s="2" t="s">
        <v>308</v>
      </c>
      <c r="C858" s="2" t="s">
        <v>29</v>
      </c>
      <c r="D858" s="2" t="s">
        <v>18</v>
      </c>
      <c r="E858" s="2">
        <v>163</v>
      </c>
      <c r="F858" s="2">
        <v>75143</v>
      </c>
      <c r="G858" s="2">
        <v>30054</v>
      </c>
      <c r="H858" s="2">
        <v>8</v>
      </c>
      <c r="I858" s="2">
        <v>59</v>
      </c>
      <c r="J858" s="2">
        <v>3</v>
      </c>
      <c r="K858" s="2">
        <v>3.9</v>
      </c>
      <c r="L858" s="3">
        <f t="shared" si="39"/>
        <v>0.39995741452963018</v>
      </c>
      <c r="M858" s="4">
        <f t="shared" si="40"/>
        <v>461</v>
      </c>
      <c r="N858" s="2">
        <f t="shared" si="41"/>
        <v>20.375</v>
      </c>
    </row>
    <row r="859" spans="1:14" x14ac:dyDescent="0.25">
      <c r="A859" s="5" t="s">
        <v>319</v>
      </c>
      <c r="B859" s="5" t="s">
        <v>308</v>
      </c>
      <c r="C859" s="5" t="s">
        <v>29</v>
      </c>
      <c r="D859" s="5" t="s">
        <v>19</v>
      </c>
      <c r="E859" s="5">
        <v>84</v>
      </c>
      <c r="F859" s="5">
        <v>27468</v>
      </c>
      <c r="G859" s="5">
        <v>11441</v>
      </c>
      <c r="H859" s="5">
        <v>7</v>
      </c>
      <c r="I859" s="5">
        <v>45</v>
      </c>
      <c r="J859" s="5">
        <v>2</v>
      </c>
      <c r="K859" s="5">
        <v>4.2</v>
      </c>
      <c r="L859" s="6">
        <f t="shared" si="39"/>
        <v>0.41652104266783163</v>
      </c>
      <c r="M859" s="7">
        <f t="shared" si="40"/>
        <v>327</v>
      </c>
      <c r="N859" s="5">
        <f t="shared" si="41"/>
        <v>12</v>
      </c>
    </row>
    <row r="860" spans="1:14" x14ac:dyDescent="0.25">
      <c r="A860" s="2" t="s">
        <v>320</v>
      </c>
      <c r="B860" s="2" t="s">
        <v>308</v>
      </c>
      <c r="C860" s="2" t="s">
        <v>31</v>
      </c>
      <c r="D860" s="2" t="s">
        <v>17</v>
      </c>
      <c r="E860" s="2">
        <v>37</v>
      </c>
      <c r="F860" s="2">
        <v>9805</v>
      </c>
      <c r="G860" s="2">
        <v>2865</v>
      </c>
      <c r="H860" s="2">
        <v>5</v>
      </c>
      <c r="I860" s="2">
        <v>40</v>
      </c>
      <c r="J860" s="2">
        <v>0</v>
      </c>
      <c r="K860" s="2">
        <v>4.2</v>
      </c>
      <c r="L860" s="3">
        <f t="shared" si="39"/>
        <v>0.29219785823559408</v>
      </c>
      <c r="M860" s="4">
        <f t="shared" si="40"/>
        <v>265</v>
      </c>
      <c r="N860" s="2">
        <f t="shared" si="41"/>
        <v>7.4</v>
      </c>
    </row>
    <row r="861" spans="1:14" x14ac:dyDescent="0.25">
      <c r="A861" s="5" t="s">
        <v>320</v>
      </c>
      <c r="B861" s="5" t="s">
        <v>308</v>
      </c>
      <c r="C861" s="5" t="s">
        <v>31</v>
      </c>
      <c r="D861" s="5" t="s">
        <v>18</v>
      </c>
      <c r="E861" s="5">
        <v>110</v>
      </c>
      <c r="F861" s="5">
        <v>37510</v>
      </c>
      <c r="G861" s="5">
        <v>11214</v>
      </c>
      <c r="H861" s="5">
        <v>6</v>
      </c>
      <c r="I861" s="5">
        <v>61</v>
      </c>
      <c r="J861" s="5">
        <v>2</v>
      </c>
      <c r="K861" s="5">
        <v>4</v>
      </c>
      <c r="L861" s="6">
        <f t="shared" si="39"/>
        <v>0.2989602772593975</v>
      </c>
      <c r="M861" s="7">
        <f t="shared" si="40"/>
        <v>341</v>
      </c>
      <c r="N861" s="5">
        <f t="shared" si="41"/>
        <v>18.333333333333332</v>
      </c>
    </row>
    <row r="862" spans="1:14" x14ac:dyDescent="0.25">
      <c r="A862" s="2" t="s">
        <v>320</v>
      </c>
      <c r="B862" s="2" t="s">
        <v>308</v>
      </c>
      <c r="C862" s="2" t="s">
        <v>31</v>
      </c>
      <c r="D862" s="2" t="s">
        <v>19</v>
      </c>
      <c r="E862" s="2">
        <v>39</v>
      </c>
      <c r="F862" s="2">
        <v>9204</v>
      </c>
      <c r="G862" s="2">
        <v>3592</v>
      </c>
      <c r="H862" s="2">
        <v>7</v>
      </c>
      <c r="I862" s="2">
        <v>51</v>
      </c>
      <c r="J862" s="2">
        <v>2</v>
      </c>
      <c r="K862" s="2">
        <v>4</v>
      </c>
      <c r="L862" s="3">
        <f t="shared" si="39"/>
        <v>0.39026510212950893</v>
      </c>
      <c r="M862" s="4">
        <f t="shared" si="40"/>
        <v>236</v>
      </c>
      <c r="N862" s="2">
        <f t="shared" si="41"/>
        <v>5.5714285714285712</v>
      </c>
    </row>
    <row r="863" spans="1:14" x14ac:dyDescent="0.25">
      <c r="A863" s="5" t="s">
        <v>321</v>
      </c>
      <c r="B863" s="5" t="s">
        <v>308</v>
      </c>
      <c r="C863" s="5" t="s">
        <v>16</v>
      </c>
      <c r="D863" s="5" t="s">
        <v>17</v>
      </c>
      <c r="E863" s="5">
        <v>32</v>
      </c>
      <c r="F863" s="5">
        <v>6016</v>
      </c>
      <c r="G863" s="5">
        <v>1903</v>
      </c>
      <c r="H863" s="5">
        <v>4</v>
      </c>
      <c r="I863" s="5">
        <v>39</v>
      </c>
      <c r="J863" s="5">
        <v>1</v>
      </c>
      <c r="K863" s="5">
        <v>4.0999999999999996</v>
      </c>
      <c r="L863" s="6">
        <f t="shared" si="39"/>
        <v>0.31632313829787234</v>
      </c>
      <c r="M863" s="7">
        <f t="shared" si="40"/>
        <v>188</v>
      </c>
      <c r="N863" s="5">
        <f t="shared" si="41"/>
        <v>8</v>
      </c>
    </row>
    <row r="864" spans="1:14" x14ac:dyDescent="0.25">
      <c r="A864" s="2" t="s">
        <v>321</v>
      </c>
      <c r="B864" s="2" t="s">
        <v>308</v>
      </c>
      <c r="C864" s="2" t="s">
        <v>16</v>
      </c>
      <c r="D864" s="2" t="s">
        <v>18</v>
      </c>
      <c r="E864" s="2">
        <v>76</v>
      </c>
      <c r="F864" s="2">
        <v>25764</v>
      </c>
      <c r="G864" s="2">
        <v>8337</v>
      </c>
      <c r="H864" s="2">
        <v>6</v>
      </c>
      <c r="I864" s="2">
        <v>75</v>
      </c>
      <c r="J864" s="2">
        <v>3</v>
      </c>
      <c r="K864" s="2">
        <v>3.7</v>
      </c>
      <c r="L864" s="3">
        <f t="shared" si="39"/>
        <v>0.32359105728924081</v>
      </c>
      <c r="M864" s="4">
        <f t="shared" si="40"/>
        <v>339</v>
      </c>
      <c r="N864" s="2">
        <f t="shared" si="41"/>
        <v>12.666666666666666</v>
      </c>
    </row>
    <row r="865" spans="1:14" x14ac:dyDescent="0.25">
      <c r="A865" s="5" t="s">
        <v>321</v>
      </c>
      <c r="B865" s="5" t="s">
        <v>308</v>
      </c>
      <c r="C865" s="5" t="s">
        <v>16</v>
      </c>
      <c r="D865" s="5" t="s">
        <v>19</v>
      </c>
      <c r="E865" s="5">
        <v>45</v>
      </c>
      <c r="F865" s="5">
        <v>12870</v>
      </c>
      <c r="G865" s="5">
        <v>3802</v>
      </c>
      <c r="H865" s="5">
        <v>5</v>
      </c>
      <c r="I865" s="5">
        <v>43</v>
      </c>
      <c r="J865" s="5">
        <v>1</v>
      </c>
      <c r="K865" s="5">
        <v>3.7</v>
      </c>
      <c r="L865" s="6">
        <f t="shared" si="39"/>
        <v>0.2954156954156954</v>
      </c>
      <c r="M865" s="7">
        <f t="shared" si="40"/>
        <v>286</v>
      </c>
      <c r="N865" s="5">
        <f t="shared" si="41"/>
        <v>9</v>
      </c>
    </row>
    <row r="866" spans="1:14" x14ac:dyDescent="0.25">
      <c r="A866" s="2" t="s">
        <v>322</v>
      </c>
      <c r="B866" s="2" t="s">
        <v>308</v>
      </c>
      <c r="C866" s="2" t="s">
        <v>21</v>
      </c>
      <c r="D866" s="2" t="s">
        <v>17</v>
      </c>
      <c r="E866" s="2">
        <v>25</v>
      </c>
      <c r="F866" s="2">
        <v>5150</v>
      </c>
      <c r="G866" s="2">
        <v>1905</v>
      </c>
      <c r="H866" s="2">
        <v>4</v>
      </c>
      <c r="I866" s="2">
        <v>52</v>
      </c>
      <c r="J866" s="2">
        <v>0</v>
      </c>
      <c r="K866" s="2">
        <v>4.4000000000000004</v>
      </c>
      <c r="L866" s="3">
        <f t="shared" si="39"/>
        <v>0.36990291262135921</v>
      </c>
      <c r="M866" s="4">
        <f t="shared" si="40"/>
        <v>206</v>
      </c>
      <c r="N866" s="2">
        <f t="shared" si="41"/>
        <v>6.25</v>
      </c>
    </row>
    <row r="867" spans="1:14" x14ac:dyDescent="0.25">
      <c r="A867" s="5" t="s">
        <v>322</v>
      </c>
      <c r="B867" s="5" t="s">
        <v>308</v>
      </c>
      <c r="C867" s="5" t="s">
        <v>21</v>
      </c>
      <c r="D867" s="5" t="s">
        <v>18</v>
      </c>
      <c r="E867" s="5">
        <v>91</v>
      </c>
      <c r="F867" s="5">
        <v>30849</v>
      </c>
      <c r="G867" s="5">
        <v>11839</v>
      </c>
      <c r="H867" s="5">
        <v>10</v>
      </c>
      <c r="I867" s="5">
        <v>70</v>
      </c>
      <c r="J867" s="5">
        <v>1</v>
      </c>
      <c r="K867" s="5">
        <v>3.6</v>
      </c>
      <c r="L867" s="6">
        <f t="shared" si="39"/>
        <v>0.3837725696132776</v>
      </c>
      <c r="M867" s="7">
        <f t="shared" si="40"/>
        <v>339</v>
      </c>
      <c r="N867" s="5">
        <f t="shared" si="41"/>
        <v>9.1</v>
      </c>
    </row>
    <row r="868" spans="1:14" x14ac:dyDescent="0.25">
      <c r="A868" s="2" t="s">
        <v>322</v>
      </c>
      <c r="B868" s="2" t="s">
        <v>308</v>
      </c>
      <c r="C868" s="2" t="s">
        <v>21</v>
      </c>
      <c r="D868" s="2" t="s">
        <v>19</v>
      </c>
      <c r="E868" s="2">
        <v>42</v>
      </c>
      <c r="F868" s="2">
        <v>14112</v>
      </c>
      <c r="G868" s="2">
        <v>4052</v>
      </c>
      <c r="H868" s="2">
        <v>7</v>
      </c>
      <c r="I868" s="2">
        <v>46</v>
      </c>
      <c r="J868" s="2">
        <v>0</v>
      </c>
      <c r="K868" s="2">
        <v>3.6</v>
      </c>
      <c r="L868" s="3">
        <f t="shared" si="39"/>
        <v>0.28713151927437641</v>
      </c>
      <c r="M868" s="4">
        <f t="shared" si="40"/>
        <v>336</v>
      </c>
      <c r="N868" s="2">
        <f t="shared" si="41"/>
        <v>6</v>
      </c>
    </row>
    <row r="869" spans="1:14" x14ac:dyDescent="0.25">
      <c r="A869" s="5" t="s">
        <v>323</v>
      </c>
      <c r="B869" s="5" t="s">
        <v>308</v>
      </c>
      <c r="C869" s="5" t="s">
        <v>23</v>
      </c>
      <c r="D869" s="5" t="s">
        <v>17</v>
      </c>
      <c r="E869" s="5">
        <v>35</v>
      </c>
      <c r="F869" s="5">
        <v>7910</v>
      </c>
      <c r="G869" s="5">
        <v>2386</v>
      </c>
      <c r="H869" s="5">
        <v>4</v>
      </c>
      <c r="I869" s="5">
        <v>50</v>
      </c>
      <c r="J869" s="5">
        <v>1</v>
      </c>
      <c r="K869" s="5">
        <v>4.0999999999999996</v>
      </c>
      <c r="L869" s="6">
        <f t="shared" si="39"/>
        <v>0.30164348925410872</v>
      </c>
      <c r="M869" s="7">
        <f t="shared" si="40"/>
        <v>226</v>
      </c>
      <c r="N869" s="5">
        <f t="shared" si="41"/>
        <v>8.75</v>
      </c>
    </row>
    <row r="870" spans="1:14" x14ac:dyDescent="0.25">
      <c r="A870" s="2" t="s">
        <v>323</v>
      </c>
      <c r="B870" s="2" t="s">
        <v>308</v>
      </c>
      <c r="C870" s="2" t="s">
        <v>23</v>
      </c>
      <c r="D870" s="2" t="s">
        <v>18</v>
      </c>
      <c r="E870" s="2">
        <v>102</v>
      </c>
      <c r="F870" s="2">
        <v>36618</v>
      </c>
      <c r="G870" s="2">
        <v>15182</v>
      </c>
      <c r="H870" s="2">
        <v>7</v>
      </c>
      <c r="I870" s="2">
        <v>59</v>
      </c>
      <c r="J870" s="2">
        <v>0</v>
      </c>
      <c r="K870" s="2">
        <v>3.8</v>
      </c>
      <c r="L870" s="3">
        <f t="shared" si="39"/>
        <v>0.41460483915014473</v>
      </c>
      <c r="M870" s="4">
        <f t="shared" si="40"/>
        <v>359</v>
      </c>
      <c r="N870" s="2">
        <f t="shared" si="41"/>
        <v>14.571428571428571</v>
      </c>
    </row>
    <row r="871" spans="1:14" x14ac:dyDescent="0.25">
      <c r="A871" s="5" t="s">
        <v>323</v>
      </c>
      <c r="B871" s="5" t="s">
        <v>308</v>
      </c>
      <c r="C871" s="5" t="s">
        <v>23</v>
      </c>
      <c r="D871" s="5" t="s">
        <v>19</v>
      </c>
      <c r="E871" s="5">
        <v>36</v>
      </c>
      <c r="F871" s="5">
        <v>11376</v>
      </c>
      <c r="G871" s="5">
        <v>3776</v>
      </c>
      <c r="H871" s="5">
        <v>4</v>
      </c>
      <c r="I871" s="5">
        <v>65</v>
      </c>
      <c r="J871" s="5">
        <v>3</v>
      </c>
      <c r="K871" s="5">
        <v>4.5</v>
      </c>
      <c r="L871" s="6">
        <f t="shared" si="39"/>
        <v>0.33192686357243317</v>
      </c>
      <c r="M871" s="7">
        <f t="shared" si="40"/>
        <v>316</v>
      </c>
      <c r="N871" s="5">
        <f t="shared" si="41"/>
        <v>9</v>
      </c>
    </row>
    <row r="872" spans="1:14" x14ac:dyDescent="0.25">
      <c r="A872" s="2" t="s">
        <v>324</v>
      </c>
      <c r="B872" s="2" t="s">
        <v>308</v>
      </c>
      <c r="C872" s="2" t="s">
        <v>25</v>
      </c>
      <c r="D872" s="2" t="s">
        <v>17</v>
      </c>
      <c r="E872" s="2">
        <v>42</v>
      </c>
      <c r="F872" s="2">
        <v>10584</v>
      </c>
      <c r="G872" s="2">
        <v>3626</v>
      </c>
      <c r="H872" s="2">
        <v>3</v>
      </c>
      <c r="I872" s="2">
        <v>43</v>
      </c>
      <c r="J872" s="2">
        <v>0</v>
      </c>
      <c r="K872" s="2">
        <v>4.4000000000000004</v>
      </c>
      <c r="L872" s="3">
        <f t="shared" si="39"/>
        <v>0.34259259259259262</v>
      </c>
      <c r="M872" s="4">
        <f t="shared" si="40"/>
        <v>252</v>
      </c>
      <c r="N872" s="2">
        <f t="shared" si="41"/>
        <v>14</v>
      </c>
    </row>
    <row r="873" spans="1:14" x14ac:dyDescent="0.25">
      <c r="A873" s="5" t="s">
        <v>324</v>
      </c>
      <c r="B873" s="5" t="s">
        <v>308</v>
      </c>
      <c r="C873" s="5" t="s">
        <v>25</v>
      </c>
      <c r="D873" s="5" t="s">
        <v>18</v>
      </c>
      <c r="E873" s="5">
        <v>125</v>
      </c>
      <c r="F873" s="5">
        <v>46125</v>
      </c>
      <c r="G873" s="5">
        <v>17266</v>
      </c>
      <c r="H873" s="5">
        <v>6</v>
      </c>
      <c r="I873" s="5">
        <v>50</v>
      </c>
      <c r="J873" s="5">
        <v>4</v>
      </c>
      <c r="K873" s="5">
        <v>4.2</v>
      </c>
      <c r="L873" s="6">
        <f t="shared" si="39"/>
        <v>0.37433062330623307</v>
      </c>
      <c r="M873" s="7">
        <f t="shared" si="40"/>
        <v>369</v>
      </c>
      <c r="N873" s="5">
        <f t="shared" si="41"/>
        <v>20.833333333333332</v>
      </c>
    </row>
    <row r="874" spans="1:14" x14ac:dyDescent="0.25">
      <c r="A874" s="2" t="s">
        <v>324</v>
      </c>
      <c r="B874" s="2" t="s">
        <v>308</v>
      </c>
      <c r="C874" s="2" t="s">
        <v>25</v>
      </c>
      <c r="D874" s="2" t="s">
        <v>19</v>
      </c>
      <c r="E874" s="2">
        <v>59</v>
      </c>
      <c r="F874" s="2">
        <v>18703</v>
      </c>
      <c r="G874" s="2">
        <v>6390</v>
      </c>
      <c r="H874" s="2">
        <v>4</v>
      </c>
      <c r="I874" s="2">
        <v>41</v>
      </c>
      <c r="J874" s="2">
        <v>3</v>
      </c>
      <c r="K874" s="2">
        <v>4.4000000000000004</v>
      </c>
      <c r="L874" s="3">
        <f t="shared" si="39"/>
        <v>0.34165641875634922</v>
      </c>
      <c r="M874" s="4">
        <f t="shared" si="40"/>
        <v>317</v>
      </c>
      <c r="N874" s="2">
        <f t="shared" si="41"/>
        <v>14.75</v>
      </c>
    </row>
    <row r="875" spans="1:14" x14ac:dyDescent="0.25">
      <c r="A875" s="5" t="s">
        <v>325</v>
      </c>
      <c r="B875" s="5" t="s">
        <v>308</v>
      </c>
      <c r="C875" s="5" t="s">
        <v>27</v>
      </c>
      <c r="D875" s="5" t="s">
        <v>17</v>
      </c>
      <c r="E875" s="5">
        <v>26</v>
      </c>
      <c r="F875" s="5">
        <v>6266</v>
      </c>
      <c r="G875" s="5">
        <v>2545</v>
      </c>
      <c r="H875" s="5">
        <v>3</v>
      </c>
      <c r="I875" s="5">
        <v>44</v>
      </c>
      <c r="J875" s="5">
        <v>1</v>
      </c>
      <c r="K875" s="5">
        <v>3.9</v>
      </c>
      <c r="L875" s="6">
        <f t="shared" si="39"/>
        <v>0.40616022981168209</v>
      </c>
      <c r="M875" s="7">
        <f t="shared" si="40"/>
        <v>241</v>
      </c>
      <c r="N875" s="5">
        <f t="shared" si="41"/>
        <v>8.6666666666666661</v>
      </c>
    </row>
    <row r="876" spans="1:14" x14ac:dyDescent="0.25">
      <c r="A876" s="2" t="s">
        <v>325</v>
      </c>
      <c r="B876" s="2" t="s">
        <v>308</v>
      </c>
      <c r="C876" s="2" t="s">
        <v>27</v>
      </c>
      <c r="D876" s="2" t="s">
        <v>18</v>
      </c>
      <c r="E876" s="2">
        <v>146</v>
      </c>
      <c r="F876" s="2">
        <v>54604</v>
      </c>
      <c r="G876" s="2">
        <v>19609</v>
      </c>
      <c r="H876" s="2">
        <v>7</v>
      </c>
      <c r="I876" s="2">
        <v>74</v>
      </c>
      <c r="J876" s="2">
        <v>2</v>
      </c>
      <c r="K876" s="2">
        <v>4.0999999999999996</v>
      </c>
      <c r="L876" s="3">
        <f t="shared" si="39"/>
        <v>0.35911288550289355</v>
      </c>
      <c r="M876" s="4">
        <f t="shared" si="40"/>
        <v>374</v>
      </c>
      <c r="N876" s="2">
        <f t="shared" si="41"/>
        <v>20.857142857142858</v>
      </c>
    </row>
    <row r="877" spans="1:14" x14ac:dyDescent="0.25">
      <c r="A877" s="5" t="s">
        <v>325</v>
      </c>
      <c r="B877" s="5" t="s">
        <v>308</v>
      </c>
      <c r="C877" s="5" t="s">
        <v>27</v>
      </c>
      <c r="D877" s="5" t="s">
        <v>19</v>
      </c>
      <c r="E877" s="5">
        <v>37</v>
      </c>
      <c r="F877" s="5">
        <v>7770</v>
      </c>
      <c r="G877" s="5">
        <v>3016</v>
      </c>
      <c r="H877" s="5">
        <v>7</v>
      </c>
      <c r="I877" s="5">
        <v>56</v>
      </c>
      <c r="J877" s="5">
        <v>2</v>
      </c>
      <c r="K877" s="5">
        <v>4.2</v>
      </c>
      <c r="L877" s="6">
        <f t="shared" si="39"/>
        <v>0.38815958815958818</v>
      </c>
      <c r="M877" s="7">
        <f t="shared" si="40"/>
        <v>210</v>
      </c>
      <c r="N877" s="5">
        <f t="shared" si="41"/>
        <v>5.2857142857142856</v>
      </c>
    </row>
    <row r="878" spans="1:14" x14ac:dyDescent="0.25">
      <c r="A878" s="2" t="s">
        <v>326</v>
      </c>
      <c r="B878" s="2" t="s">
        <v>308</v>
      </c>
      <c r="C878" s="2" t="s">
        <v>29</v>
      </c>
      <c r="D878" s="2" t="s">
        <v>17</v>
      </c>
      <c r="E878" s="2">
        <v>64</v>
      </c>
      <c r="F878" s="2">
        <v>13056</v>
      </c>
      <c r="G878" s="2">
        <v>3827</v>
      </c>
      <c r="H878" s="2">
        <v>4</v>
      </c>
      <c r="I878" s="2">
        <v>55</v>
      </c>
      <c r="J878" s="2">
        <v>0</v>
      </c>
      <c r="K878" s="2">
        <v>4.3</v>
      </c>
      <c r="L878" s="3">
        <f t="shared" si="39"/>
        <v>0.29312193627450983</v>
      </c>
      <c r="M878" s="4">
        <f t="shared" si="40"/>
        <v>204</v>
      </c>
      <c r="N878" s="2">
        <f t="shared" si="41"/>
        <v>16</v>
      </c>
    </row>
    <row r="879" spans="1:14" x14ac:dyDescent="0.25">
      <c r="A879" s="5" t="s">
        <v>326</v>
      </c>
      <c r="B879" s="5" t="s">
        <v>308</v>
      </c>
      <c r="C879" s="5" t="s">
        <v>29</v>
      </c>
      <c r="D879" s="5" t="s">
        <v>18</v>
      </c>
      <c r="E879" s="5">
        <v>198</v>
      </c>
      <c r="F879" s="5">
        <v>93060</v>
      </c>
      <c r="G879" s="5">
        <v>36445</v>
      </c>
      <c r="H879" s="5">
        <v>9</v>
      </c>
      <c r="I879" s="5">
        <v>72</v>
      </c>
      <c r="J879" s="5">
        <v>3</v>
      </c>
      <c r="K879" s="5">
        <v>4.7</v>
      </c>
      <c r="L879" s="6">
        <f t="shared" si="39"/>
        <v>0.39162905652267355</v>
      </c>
      <c r="M879" s="7">
        <f t="shared" si="40"/>
        <v>470</v>
      </c>
      <c r="N879" s="5">
        <f t="shared" si="41"/>
        <v>22</v>
      </c>
    </row>
    <row r="880" spans="1:14" x14ac:dyDescent="0.25">
      <c r="A880" s="2" t="s">
        <v>326</v>
      </c>
      <c r="B880" s="2" t="s">
        <v>308</v>
      </c>
      <c r="C880" s="2" t="s">
        <v>29</v>
      </c>
      <c r="D880" s="2" t="s">
        <v>19</v>
      </c>
      <c r="E880" s="2">
        <v>57</v>
      </c>
      <c r="F880" s="2">
        <v>13167</v>
      </c>
      <c r="G880" s="2">
        <v>5275</v>
      </c>
      <c r="H880" s="2">
        <v>6</v>
      </c>
      <c r="I880" s="2">
        <v>53</v>
      </c>
      <c r="J880" s="2">
        <v>2</v>
      </c>
      <c r="K880" s="2">
        <v>3.6</v>
      </c>
      <c r="L880" s="3">
        <f t="shared" si="39"/>
        <v>0.40062276904382166</v>
      </c>
      <c r="M880" s="4">
        <f t="shared" si="40"/>
        <v>231</v>
      </c>
      <c r="N880" s="2">
        <f t="shared" si="41"/>
        <v>9.5</v>
      </c>
    </row>
    <row r="881" spans="1:14" x14ac:dyDescent="0.25">
      <c r="A881" s="5" t="s">
        <v>327</v>
      </c>
      <c r="B881" s="5" t="s">
        <v>308</v>
      </c>
      <c r="C881" s="5" t="s">
        <v>31</v>
      </c>
      <c r="D881" s="5" t="s">
        <v>17</v>
      </c>
      <c r="E881" s="5">
        <v>68</v>
      </c>
      <c r="F881" s="5">
        <v>17952</v>
      </c>
      <c r="G881" s="5">
        <v>6084</v>
      </c>
      <c r="H881" s="5">
        <v>3</v>
      </c>
      <c r="I881" s="5">
        <v>40</v>
      </c>
      <c r="J881" s="5">
        <v>0</v>
      </c>
      <c r="K881" s="5">
        <v>4.0999999999999996</v>
      </c>
      <c r="L881" s="6">
        <f t="shared" si="39"/>
        <v>0.33890374331550804</v>
      </c>
      <c r="M881" s="7">
        <f t="shared" si="40"/>
        <v>264</v>
      </c>
      <c r="N881" s="5">
        <f t="shared" si="41"/>
        <v>22.666666666666668</v>
      </c>
    </row>
    <row r="882" spans="1:14" x14ac:dyDescent="0.25">
      <c r="A882" s="2" t="s">
        <v>327</v>
      </c>
      <c r="B882" s="2" t="s">
        <v>308</v>
      </c>
      <c r="C882" s="2" t="s">
        <v>31</v>
      </c>
      <c r="D882" s="2" t="s">
        <v>18</v>
      </c>
      <c r="E882" s="2">
        <v>163</v>
      </c>
      <c r="F882" s="2">
        <v>49715</v>
      </c>
      <c r="G882" s="2">
        <v>19286</v>
      </c>
      <c r="H882" s="2">
        <v>6</v>
      </c>
      <c r="I882" s="2">
        <v>67</v>
      </c>
      <c r="J882" s="2">
        <v>4</v>
      </c>
      <c r="K882" s="2">
        <v>3.8</v>
      </c>
      <c r="L882" s="3">
        <f t="shared" si="39"/>
        <v>0.38793120788494417</v>
      </c>
      <c r="M882" s="4">
        <f t="shared" si="40"/>
        <v>305</v>
      </c>
      <c r="N882" s="2">
        <f t="shared" si="41"/>
        <v>27.166666666666668</v>
      </c>
    </row>
    <row r="883" spans="1:14" x14ac:dyDescent="0.25">
      <c r="A883" s="5" t="s">
        <v>327</v>
      </c>
      <c r="B883" s="5" t="s">
        <v>308</v>
      </c>
      <c r="C883" s="5" t="s">
        <v>31</v>
      </c>
      <c r="D883" s="5" t="s">
        <v>19</v>
      </c>
      <c r="E883" s="5">
        <v>104</v>
      </c>
      <c r="F883" s="5">
        <v>26624</v>
      </c>
      <c r="G883" s="5">
        <v>7527</v>
      </c>
      <c r="H883" s="5">
        <v>4</v>
      </c>
      <c r="I883" s="5">
        <v>60</v>
      </c>
      <c r="J883" s="5">
        <v>2</v>
      </c>
      <c r="K883" s="5">
        <v>3.7</v>
      </c>
      <c r="L883" s="6">
        <f t="shared" si="39"/>
        <v>0.28271484375</v>
      </c>
      <c r="M883" s="7">
        <f t="shared" si="40"/>
        <v>256</v>
      </c>
      <c r="N883" s="5">
        <f t="shared" si="41"/>
        <v>26</v>
      </c>
    </row>
    <row r="884" spans="1:14" x14ac:dyDescent="0.25">
      <c r="A884" s="2" t="s">
        <v>328</v>
      </c>
      <c r="B884" s="2" t="s">
        <v>308</v>
      </c>
      <c r="C884" s="2" t="s">
        <v>16</v>
      </c>
      <c r="D884" s="2" t="s">
        <v>17</v>
      </c>
      <c r="E884" s="2">
        <v>21</v>
      </c>
      <c r="F884" s="2">
        <v>3927</v>
      </c>
      <c r="G884" s="2">
        <v>1295</v>
      </c>
      <c r="H884" s="2">
        <v>4</v>
      </c>
      <c r="I884" s="2">
        <v>54</v>
      </c>
      <c r="J884" s="2">
        <v>1</v>
      </c>
      <c r="K884" s="2">
        <v>4</v>
      </c>
      <c r="L884" s="3">
        <f t="shared" si="39"/>
        <v>0.32976827094474154</v>
      </c>
      <c r="M884" s="4">
        <f t="shared" si="40"/>
        <v>187</v>
      </c>
      <c r="N884" s="2">
        <f t="shared" si="41"/>
        <v>5.25</v>
      </c>
    </row>
    <row r="885" spans="1:14" x14ac:dyDescent="0.25">
      <c r="A885" s="5" t="s">
        <v>328</v>
      </c>
      <c r="B885" s="5" t="s">
        <v>308</v>
      </c>
      <c r="C885" s="5" t="s">
        <v>16</v>
      </c>
      <c r="D885" s="5" t="s">
        <v>18</v>
      </c>
      <c r="E885" s="5">
        <v>102</v>
      </c>
      <c r="F885" s="5">
        <v>38046</v>
      </c>
      <c r="G885" s="5">
        <v>15878</v>
      </c>
      <c r="H885" s="5">
        <v>10</v>
      </c>
      <c r="I885" s="5">
        <v>57</v>
      </c>
      <c r="J885" s="5">
        <v>3</v>
      </c>
      <c r="K885" s="5">
        <v>4.5</v>
      </c>
      <c r="L885" s="6">
        <f t="shared" si="39"/>
        <v>0.41733690795352996</v>
      </c>
      <c r="M885" s="7">
        <f t="shared" si="40"/>
        <v>373</v>
      </c>
      <c r="N885" s="5">
        <f t="shared" si="41"/>
        <v>10.199999999999999</v>
      </c>
    </row>
    <row r="886" spans="1:14" x14ac:dyDescent="0.25">
      <c r="A886" s="2" t="s">
        <v>328</v>
      </c>
      <c r="B886" s="2" t="s">
        <v>308</v>
      </c>
      <c r="C886" s="2" t="s">
        <v>16</v>
      </c>
      <c r="D886" s="2" t="s">
        <v>19</v>
      </c>
      <c r="E886" s="2">
        <v>25</v>
      </c>
      <c r="F886" s="2">
        <v>5225</v>
      </c>
      <c r="G886" s="2">
        <v>2145</v>
      </c>
      <c r="H886" s="2">
        <v>7</v>
      </c>
      <c r="I886" s="2">
        <v>43</v>
      </c>
      <c r="J886" s="2">
        <v>2</v>
      </c>
      <c r="K886" s="2">
        <v>4.0999999999999996</v>
      </c>
      <c r="L886" s="3">
        <f t="shared" si="39"/>
        <v>0.41052631578947368</v>
      </c>
      <c r="M886" s="4">
        <f t="shared" si="40"/>
        <v>209</v>
      </c>
      <c r="N886" s="2">
        <f t="shared" si="41"/>
        <v>3.5714285714285716</v>
      </c>
    </row>
    <row r="887" spans="1:14" x14ac:dyDescent="0.25">
      <c r="A887" s="5" t="s">
        <v>329</v>
      </c>
      <c r="B887" s="5" t="s">
        <v>308</v>
      </c>
      <c r="C887" s="5" t="s">
        <v>21</v>
      </c>
      <c r="D887" s="5" t="s">
        <v>17</v>
      </c>
      <c r="E887" s="5">
        <v>23</v>
      </c>
      <c r="F887" s="5">
        <v>4370</v>
      </c>
      <c r="G887" s="5">
        <v>1552</v>
      </c>
      <c r="H887" s="5">
        <v>5</v>
      </c>
      <c r="I887" s="5">
        <v>38</v>
      </c>
      <c r="J887" s="5">
        <v>2</v>
      </c>
      <c r="K887" s="5">
        <v>4.2</v>
      </c>
      <c r="L887" s="6">
        <f t="shared" si="39"/>
        <v>0.35514874141876429</v>
      </c>
      <c r="M887" s="7">
        <f t="shared" si="40"/>
        <v>190</v>
      </c>
      <c r="N887" s="5">
        <f t="shared" si="41"/>
        <v>4.5999999999999996</v>
      </c>
    </row>
    <row r="888" spans="1:14" x14ac:dyDescent="0.25">
      <c r="A888" s="2" t="s">
        <v>329</v>
      </c>
      <c r="B888" s="2" t="s">
        <v>308</v>
      </c>
      <c r="C888" s="2" t="s">
        <v>21</v>
      </c>
      <c r="D888" s="2" t="s">
        <v>18</v>
      </c>
      <c r="E888" s="2">
        <v>81</v>
      </c>
      <c r="F888" s="2">
        <v>37989</v>
      </c>
      <c r="G888" s="2">
        <v>14386</v>
      </c>
      <c r="H888" s="2">
        <v>8</v>
      </c>
      <c r="I888" s="2">
        <v>59</v>
      </c>
      <c r="J888" s="2">
        <v>2</v>
      </c>
      <c r="K888" s="2">
        <v>4.5</v>
      </c>
      <c r="L888" s="3">
        <f t="shared" si="39"/>
        <v>0.37868856774329412</v>
      </c>
      <c r="M888" s="4">
        <f t="shared" si="40"/>
        <v>469</v>
      </c>
      <c r="N888" s="2">
        <f t="shared" si="41"/>
        <v>10.125</v>
      </c>
    </row>
    <row r="889" spans="1:14" x14ac:dyDescent="0.25">
      <c r="A889" s="5" t="s">
        <v>329</v>
      </c>
      <c r="B889" s="5" t="s">
        <v>308</v>
      </c>
      <c r="C889" s="5" t="s">
        <v>21</v>
      </c>
      <c r="D889" s="5" t="s">
        <v>19</v>
      </c>
      <c r="E889" s="5">
        <v>36</v>
      </c>
      <c r="F889" s="5">
        <v>10332</v>
      </c>
      <c r="G889" s="5">
        <v>3712</v>
      </c>
      <c r="H889" s="5">
        <v>6</v>
      </c>
      <c r="I889" s="5">
        <v>55</v>
      </c>
      <c r="J889" s="5">
        <v>3</v>
      </c>
      <c r="K889" s="5">
        <v>3.9</v>
      </c>
      <c r="L889" s="6">
        <f t="shared" si="39"/>
        <v>0.35927216415021296</v>
      </c>
      <c r="M889" s="7">
        <f t="shared" si="40"/>
        <v>287</v>
      </c>
      <c r="N889" s="5">
        <f t="shared" si="41"/>
        <v>6</v>
      </c>
    </row>
    <row r="890" spans="1:14" x14ac:dyDescent="0.25">
      <c r="A890" s="2" t="s">
        <v>330</v>
      </c>
      <c r="B890" s="2" t="s">
        <v>308</v>
      </c>
      <c r="C890" s="2" t="s">
        <v>23</v>
      </c>
      <c r="D890" s="2" t="s">
        <v>17</v>
      </c>
      <c r="E890" s="2">
        <v>39</v>
      </c>
      <c r="F890" s="2">
        <v>10764</v>
      </c>
      <c r="G890" s="2">
        <v>3488</v>
      </c>
      <c r="H890" s="2">
        <v>4</v>
      </c>
      <c r="I890" s="2">
        <v>38</v>
      </c>
      <c r="J890" s="2">
        <v>0</v>
      </c>
      <c r="K890" s="2">
        <v>4.4000000000000004</v>
      </c>
      <c r="L890" s="3">
        <f t="shared" si="39"/>
        <v>0.3240431066518023</v>
      </c>
      <c r="M890" s="4">
        <f t="shared" si="40"/>
        <v>276</v>
      </c>
      <c r="N890" s="2">
        <f t="shared" si="41"/>
        <v>9.75</v>
      </c>
    </row>
    <row r="891" spans="1:14" x14ac:dyDescent="0.25">
      <c r="A891" s="5" t="s">
        <v>330</v>
      </c>
      <c r="B891" s="5" t="s">
        <v>308</v>
      </c>
      <c r="C891" s="5" t="s">
        <v>23</v>
      </c>
      <c r="D891" s="5" t="s">
        <v>18</v>
      </c>
      <c r="E891" s="5">
        <v>50</v>
      </c>
      <c r="F891" s="5">
        <v>14450</v>
      </c>
      <c r="G891" s="5">
        <v>4285</v>
      </c>
      <c r="H891" s="5">
        <v>8</v>
      </c>
      <c r="I891" s="5">
        <v>70</v>
      </c>
      <c r="J891" s="5">
        <v>1</v>
      </c>
      <c r="K891" s="5">
        <v>3.9</v>
      </c>
      <c r="L891" s="6">
        <f t="shared" si="39"/>
        <v>0.29653979238754324</v>
      </c>
      <c r="M891" s="7">
        <f t="shared" si="40"/>
        <v>289</v>
      </c>
      <c r="N891" s="5">
        <f t="shared" si="41"/>
        <v>6.25</v>
      </c>
    </row>
    <row r="892" spans="1:14" x14ac:dyDescent="0.25">
      <c r="A892" s="2" t="s">
        <v>330</v>
      </c>
      <c r="B892" s="2" t="s">
        <v>308</v>
      </c>
      <c r="C892" s="2" t="s">
        <v>23</v>
      </c>
      <c r="D892" s="2" t="s">
        <v>19</v>
      </c>
      <c r="E892" s="2">
        <v>26</v>
      </c>
      <c r="F892" s="2">
        <v>6890</v>
      </c>
      <c r="G892" s="2">
        <v>2760</v>
      </c>
      <c r="H892" s="2">
        <v>4</v>
      </c>
      <c r="I892" s="2">
        <v>59</v>
      </c>
      <c r="J892" s="2">
        <v>0</v>
      </c>
      <c r="K892" s="2">
        <v>4</v>
      </c>
      <c r="L892" s="3">
        <f t="shared" si="39"/>
        <v>0.40058055152394773</v>
      </c>
      <c r="M892" s="4">
        <f t="shared" si="40"/>
        <v>265</v>
      </c>
      <c r="N892" s="2">
        <f t="shared" si="41"/>
        <v>6.5</v>
      </c>
    </row>
    <row r="893" spans="1:14" x14ac:dyDescent="0.25">
      <c r="A893" s="5" t="s">
        <v>331</v>
      </c>
      <c r="B893" s="5" t="s">
        <v>308</v>
      </c>
      <c r="C893" s="5" t="s">
        <v>25</v>
      </c>
      <c r="D893" s="5" t="s">
        <v>17</v>
      </c>
      <c r="E893" s="5">
        <v>26</v>
      </c>
      <c r="F893" s="5">
        <v>5174</v>
      </c>
      <c r="G893" s="5">
        <v>1509</v>
      </c>
      <c r="H893" s="5">
        <v>3</v>
      </c>
      <c r="I893" s="5">
        <v>37</v>
      </c>
      <c r="J893" s="5">
        <v>0</v>
      </c>
      <c r="K893" s="5">
        <v>4.2</v>
      </c>
      <c r="L893" s="6">
        <f t="shared" si="39"/>
        <v>0.29165056049478161</v>
      </c>
      <c r="M893" s="7">
        <f t="shared" si="40"/>
        <v>199</v>
      </c>
      <c r="N893" s="5">
        <f t="shared" si="41"/>
        <v>8.6666666666666661</v>
      </c>
    </row>
    <row r="894" spans="1:14" x14ac:dyDescent="0.25">
      <c r="A894" s="2" t="s">
        <v>331</v>
      </c>
      <c r="B894" s="2" t="s">
        <v>308</v>
      </c>
      <c r="C894" s="2" t="s">
        <v>25</v>
      </c>
      <c r="D894" s="2" t="s">
        <v>18</v>
      </c>
      <c r="E894" s="2">
        <v>96</v>
      </c>
      <c r="F894" s="2">
        <v>39264</v>
      </c>
      <c r="G894" s="2">
        <v>15656</v>
      </c>
      <c r="H894" s="2">
        <v>9</v>
      </c>
      <c r="I894" s="2">
        <v>49</v>
      </c>
      <c r="J894" s="2">
        <v>1</v>
      </c>
      <c r="K894" s="2">
        <v>4.0999999999999996</v>
      </c>
      <c r="L894" s="3">
        <f t="shared" si="39"/>
        <v>0.39873675631621841</v>
      </c>
      <c r="M894" s="4">
        <f t="shared" si="40"/>
        <v>409</v>
      </c>
      <c r="N894" s="2">
        <f t="shared" si="41"/>
        <v>10.666666666666666</v>
      </c>
    </row>
    <row r="895" spans="1:14" x14ac:dyDescent="0.25">
      <c r="A895" s="5" t="s">
        <v>331</v>
      </c>
      <c r="B895" s="5" t="s">
        <v>308</v>
      </c>
      <c r="C895" s="5" t="s">
        <v>25</v>
      </c>
      <c r="D895" s="5" t="s">
        <v>19</v>
      </c>
      <c r="E895" s="5">
        <v>44</v>
      </c>
      <c r="F895" s="5">
        <v>10560</v>
      </c>
      <c r="G895" s="5">
        <v>3643</v>
      </c>
      <c r="H895" s="5">
        <v>7</v>
      </c>
      <c r="I895" s="5">
        <v>50</v>
      </c>
      <c r="J895" s="5">
        <v>2</v>
      </c>
      <c r="K895" s="5">
        <v>4.2</v>
      </c>
      <c r="L895" s="6">
        <f t="shared" si="39"/>
        <v>0.3449810606060606</v>
      </c>
      <c r="M895" s="7">
        <f t="shared" si="40"/>
        <v>240</v>
      </c>
      <c r="N895" s="5">
        <f t="shared" si="41"/>
        <v>6.2857142857142856</v>
      </c>
    </row>
    <row r="896" spans="1:14" x14ac:dyDescent="0.25">
      <c r="A896" s="2" t="s">
        <v>332</v>
      </c>
      <c r="B896" s="2" t="s">
        <v>308</v>
      </c>
      <c r="C896" s="2" t="s">
        <v>27</v>
      </c>
      <c r="D896" s="2" t="s">
        <v>17</v>
      </c>
      <c r="E896" s="2">
        <v>26</v>
      </c>
      <c r="F896" s="2">
        <v>7046</v>
      </c>
      <c r="G896" s="2">
        <v>2701</v>
      </c>
      <c r="H896" s="2">
        <v>4</v>
      </c>
      <c r="I896" s="2">
        <v>41</v>
      </c>
      <c r="J896" s="2">
        <v>2</v>
      </c>
      <c r="K896" s="2">
        <v>4.3</v>
      </c>
      <c r="L896" s="3">
        <f t="shared" si="39"/>
        <v>0.38333806414987226</v>
      </c>
      <c r="M896" s="4">
        <f t="shared" si="40"/>
        <v>271</v>
      </c>
      <c r="N896" s="2">
        <f t="shared" si="41"/>
        <v>6.5</v>
      </c>
    </row>
    <row r="897" spans="1:14" x14ac:dyDescent="0.25">
      <c r="A897" s="5" t="s">
        <v>332</v>
      </c>
      <c r="B897" s="5" t="s">
        <v>308</v>
      </c>
      <c r="C897" s="5" t="s">
        <v>27</v>
      </c>
      <c r="D897" s="5" t="s">
        <v>18</v>
      </c>
      <c r="E897" s="5">
        <v>176</v>
      </c>
      <c r="F897" s="5">
        <v>58960</v>
      </c>
      <c r="G897" s="5">
        <v>19783</v>
      </c>
      <c r="H897" s="5">
        <v>10</v>
      </c>
      <c r="I897" s="5">
        <v>58</v>
      </c>
      <c r="J897" s="5">
        <v>2</v>
      </c>
      <c r="K897" s="5">
        <v>3.8</v>
      </c>
      <c r="L897" s="6">
        <f t="shared" si="39"/>
        <v>0.33553256445047491</v>
      </c>
      <c r="M897" s="7">
        <f t="shared" si="40"/>
        <v>335</v>
      </c>
      <c r="N897" s="5">
        <f t="shared" si="41"/>
        <v>17.600000000000001</v>
      </c>
    </row>
    <row r="898" spans="1:14" x14ac:dyDescent="0.25">
      <c r="A898" s="2" t="s">
        <v>332</v>
      </c>
      <c r="B898" s="2" t="s">
        <v>308</v>
      </c>
      <c r="C898" s="2" t="s">
        <v>27</v>
      </c>
      <c r="D898" s="2" t="s">
        <v>19</v>
      </c>
      <c r="E898" s="2">
        <v>69</v>
      </c>
      <c r="F898" s="2">
        <v>23667</v>
      </c>
      <c r="G898" s="2">
        <v>7011</v>
      </c>
      <c r="H898" s="2">
        <v>6</v>
      </c>
      <c r="I898" s="2">
        <v>61</v>
      </c>
      <c r="J898" s="2">
        <v>2</v>
      </c>
      <c r="K898" s="2">
        <v>4.4000000000000004</v>
      </c>
      <c r="L898" s="3">
        <f t="shared" ref="L898:L961" si="42">G898/F898</f>
        <v>0.29623526429205221</v>
      </c>
      <c r="M898" s="4">
        <f t="shared" ref="M898:M961" si="43">F898/E898</f>
        <v>343</v>
      </c>
      <c r="N898" s="2">
        <f t="shared" ref="N898:N961" si="44">E898/H898</f>
        <v>11.5</v>
      </c>
    </row>
    <row r="899" spans="1:14" x14ac:dyDescent="0.25">
      <c r="A899" s="5" t="s">
        <v>333</v>
      </c>
      <c r="B899" s="5" t="s">
        <v>308</v>
      </c>
      <c r="C899" s="5" t="s">
        <v>29</v>
      </c>
      <c r="D899" s="5" t="s">
        <v>17</v>
      </c>
      <c r="E899" s="5">
        <v>39</v>
      </c>
      <c r="F899" s="5">
        <v>7488</v>
      </c>
      <c r="G899" s="5">
        <v>2965</v>
      </c>
      <c r="H899" s="5">
        <v>4</v>
      </c>
      <c r="I899" s="5">
        <v>43</v>
      </c>
      <c r="J899" s="5">
        <v>1</v>
      </c>
      <c r="K899" s="5">
        <v>4.0999999999999996</v>
      </c>
      <c r="L899" s="6">
        <f t="shared" si="42"/>
        <v>0.39596688034188032</v>
      </c>
      <c r="M899" s="7">
        <f t="shared" si="43"/>
        <v>192</v>
      </c>
      <c r="N899" s="5">
        <f t="shared" si="44"/>
        <v>9.75</v>
      </c>
    </row>
    <row r="900" spans="1:14" x14ac:dyDescent="0.25">
      <c r="A900" s="2" t="s">
        <v>333</v>
      </c>
      <c r="B900" s="2" t="s">
        <v>308</v>
      </c>
      <c r="C900" s="2" t="s">
        <v>29</v>
      </c>
      <c r="D900" s="2" t="s">
        <v>18</v>
      </c>
      <c r="E900" s="2">
        <v>99</v>
      </c>
      <c r="F900" s="2">
        <v>35640</v>
      </c>
      <c r="G900" s="2">
        <v>10894</v>
      </c>
      <c r="H900" s="2">
        <v>7</v>
      </c>
      <c r="I900" s="2">
        <v>60</v>
      </c>
      <c r="J900" s="2">
        <v>3</v>
      </c>
      <c r="K900" s="2">
        <v>3.7</v>
      </c>
      <c r="L900" s="3">
        <f t="shared" si="42"/>
        <v>0.30566778900112235</v>
      </c>
      <c r="M900" s="4">
        <f t="shared" si="43"/>
        <v>360</v>
      </c>
      <c r="N900" s="2">
        <f t="shared" si="44"/>
        <v>14.142857142857142</v>
      </c>
    </row>
    <row r="901" spans="1:14" x14ac:dyDescent="0.25">
      <c r="A901" s="5" t="s">
        <v>333</v>
      </c>
      <c r="B901" s="5" t="s">
        <v>308</v>
      </c>
      <c r="C901" s="5" t="s">
        <v>29</v>
      </c>
      <c r="D901" s="5" t="s">
        <v>19</v>
      </c>
      <c r="E901" s="5">
        <v>109</v>
      </c>
      <c r="F901" s="5">
        <v>37605</v>
      </c>
      <c r="G901" s="5">
        <v>12914</v>
      </c>
      <c r="H901" s="5">
        <v>7</v>
      </c>
      <c r="I901" s="5">
        <v>55</v>
      </c>
      <c r="J901" s="5">
        <v>1</v>
      </c>
      <c r="K901" s="5">
        <v>3.7</v>
      </c>
      <c r="L901" s="6">
        <f t="shared" si="42"/>
        <v>0.34341178034835795</v>
      </c>
      <c r="M901" s="7">
        <f t="shared" si="43"/>
        <v>345</v>
      </c>
      <c r="N901" s="5">
        <f t="shared" si="44"/>
        <v>15.571428571428571</v>
      </c>
    </row>
    <row r="902" spans="1:14" x14ac:dyDescent="0.25">
      <c r="A902" s="2" t="s">
        <v>334</v>
      </c>
      <c r="B902" s="2" t="s">
        <v>308</v>
      </c>
      <c r="C902" s="2" t="s">
        <v>31</v>
      </c>
      <c r="D902" s="2" t="s">
        <v>17</v>
      </c>
      <c r="E902" s="2">
        <v>44</v>
      </c>
      <c r="F902" s="2">
        <v>11748</v>
      </c>
      <c r="G902" s="2">
        <v>3870</v>
      </c>
      <c r="H902" s="2">
        <v>5</v>
      </c>
      <c r="I902" s="2">
        <v>49</v>
      </c>
      <c r="J902" s="2">
        <v>1</v>
      </c>
      <c r="K902" s="2">
        <v>4.0999999999999996</v>
      </c>
      <c r="L902" s="3">
        <f t="shared" si="42"/>
        <v>0.32941777323799798</v>
      </c>
      <c r="M902" s="4">
        <f t="shared" si="43"/>
        <v>267</v>
      </c>
      <c r="N902" s="2">
        <f t="shared" si="44"/>
        <v>8.8000000000000007</v>
      </c>
    </row>
    <row r="903" spans="1:14" x14ac:dyDescent="0.25">
      <c r="A903" s="5" t="s">
        <v>334</v>
      </c>
      <c r="B903" s="5" t="s">
        <v>308</v>
      </c>
      <c r="C903" s="5" t="s">
        <v>31</v>
      </c>
      <c r="D903" s="5" t="s">
        <v>18</v>
      </c>
      <c r="E903" s="5">
        <v>118</v>
      </c>
      <c r="F903" s="5">
        <v>49088</v>
      </c>
      <c r="G903" s="5">
        <v>15092</v>
      </c>
      <c r="H903" s="5">
        <v>8</v>
      </c>
      <c r="I903" s="5">
        <v>70</v>
      </c>
      <c r="J903" s="5">
        <v>2</v>
      </c>
      <c r="K903" s="5">
        <v>4.5</v>
      </c>
      <c r="L903" s="6">
        <f t="shared" si="42"/>
        <v>0.30744784876140807</v>
      </c>
      <c r="M903" s="7">
        <f t="shared" si="43"/>
        <v>416</v>
      </c>
      <c r="N903" s="5">
        <f t="shared" si="44"/>
        <v>14.75</v>
      </c>
    </row>
    <row r="904" spans="1:14" x14ac:dyDescent="0.25">
      <c r="A904" s="2" t="s">
        <v>334</v>
      </c>
      <c r="B904" s="2" t="s">
        <v>308</v>
      </c>
      <c r="C904" s="2" t="s">
        <v>31</v>
      </c>
      <c r="D904" s="2" t="s">
        <v>19</v>
      </c>
      <c r="E904" s="2">
        <v>88</v>
      </c>
      <c r="F904" s="2">
        <v>24376</v>
      </c>
      <c r="G904" s="2">
        <v>10189</v>
      </c>
      <c r="H904" s="2">
        <v>4</v>
      </c>
      <c r="I904" s="2">
        <v>43</v>
      </c>
      <c r="J904" s="2">
        <v>1</v>
      </c>
      <c r="K904" s="2">
        <v>4.3</v>
      </c>
      <c r="L904" s="3">
        <f t="shared" si="42"/>
        <v>0.41799310797505745</v>
      </c>
      <c r="M904" s="4">
        <f t="shared" si="43"/>
        <v>277</v>
      </c>
      <c r="N904" s="2">
        <f t="shared" si="44"/>
        <v>22</v>
      </c>
    </row>
    <row r="905" spans="1:14" x14ac:dyDescent="0.25">
      <c r="A905" s="5" t="s">
        <v>335</v>
      </c>
      <c r="B905" s="5" t="s">
        <v>308</v>
      </c>
      <c r="C905" s="5" t="s">
        <v>16</v>
      </c>
      <c r="D905" s="5" t="s">
        <v>17</v>
      </c>
      <c r="E905" s="5">
        <v>23</v>
      </c>
      <c r="F905" s="5">
        <v>5957</v>
      </c>
      <c r="G905" s="5">
        <v>2017</v>
      </c>
      <c r="H905" s="5">
        <v>5</v>
      </c>
      <c r="I905" s="5">
        <v>44</v>
      </c>
      <c r="J905" s="5">
        <v>0</v>
      </c>
      <c r="K905" s="5">
        <v>3.8</v>
      </c>
      <c r="L905" s="6">
        <f t="shared" si="42"/>
        <v>0.33859325163672988</v>
      </c>
      <c r="M905" s="7">
        <f t="shared" si="43"/>
        <v>259</v>
      </c>
      <c r="N905" s="5">
        <f t="shared" si="44"/>
        <v>4.5999999999999996</v>
      </c>
    </row>
    <row r="906" spans="1:14" x14ac:dyDescent="0.25">
      <c r="A906" s="2" t="s">
        <v>335</v>
      </c>
      <c r="B906" s="2" t="s">
        <v>308</v>
      </c>
      <c r="C906" s="2" t="s">
        <v>16</v>
      </c>
      <c r="D906" s="2" t="s">
        <v>18</v>
      </c>
      <c r="E906" s="2">
        <v>100</v>
      </c>
      <c r="F906" s="2">
        <v>35400</v>
      </c>
      <c r="G906" s="2">
        <v>13480</v>
      </c>
      <c r="H906" s="2">
        <v>8</v>
      </c>
      <c r="I906" s="2">
        <v>62</v>
      </c>
      <c r="J906" s="2">
        <v>0</v>
      </c>
      <c r="K906" s="2">
        <v>4.2</v>
      </c>
      <c r="L906" s="3">
        <f t="shared" si="42"/>
        <v>0.38079096045197741</v>
      </c>
      <c r="M906" s="4">
        <f t="shared" si="43"/>
        <v>354</v>
      </c>
      <c r="N906" s="2">
        <f t="shared" si="44"/>
        <v>12.5</v>
      </c>
    </row>
    <row r="907" spans="1:14" x14ac:dyDescent="0.25">
      <c r="A907" s="5" t="s">
        <v>335</v>
      </c>
      <c r="B907" s="5" t="s">
        <v>308</v>
      </c>
      <c r="C907" s="5" t="s">
        <v>16</v>
      </c>
      <c r="D907" s="5" t="s">
        <v>19</v>
      </c>
      <c r="E907" s="5">
        <v>44</v>
      </c>
      <c r="F907" s="5">
        <v>13684</v>
      </c>
      <c r="G907" s="5">
        <v>5351</v>
      </c>
      <c r="H907" s="5">
        <v>5</v>
      </c>
      <c r="I907" s="5">
        <v>46</v>
      </c>
      <c r="J907" s="5">
        <v>1</v>
      </c>
      <c r="K907" s="5">
        <v>3.8</v>
      </c>
      <c r="L907" s="6">
        <f t="shared" si="42"/>
        <v>0.39104063139432915</v>
      </c>
      <c r="M907" s="7">
        <f t="shared" si="43"/>
        <v>311</v>
      </c>
      <c r="N907" s="5">
        <f t="shared" si="44"/>
        <v>8.8000000000000007</v>
      </c>
    </row>
    <row r="908" spans="1:14" x14ac:dyDescent="0.25">
      <c r="A908" s="2" t="s">
        <v>336</v>
      </c>
      <c r="B908" s="2" t="s">
        <v>308</v>
      </c>
      <c r="C908" s="2" t="s">
        <v>21</v>
      </c>
      <c r="D908" s="2" t="s">
        <v>17</v>
      </c>
      <c r="E908" s="2">
        <v>44</v>
      </c>
      <c r="F908" s="2">
        <v>8800</v>
      </c>
      <c r="G908" s="2">
        <v>2690</v>
      </c>
      <c r="H908" s="2">
        <v>5</v>
      </c>
      <c r="I908" s="2">
        <v>54</v>
      </c>
      <c r="J908" s="2">
        <v>2</v>
      </c>
      <c r="K908" s="2">
        <v>4.0999999999999996</v>
      </c>
      <c r="L908" s="3">
        <f t="shared" si="42"/>
        <v>0.30568181818181817</v>
      </c>
      <c r="M908" s="4">
        <f t="shared" si="43"/>
        <v>200</v>
      </c>
      <c r="N908" s="2">
        <f t="shared" si="44"/>
        <v>8.8000000000000007</v>
      </c>
    </row>
    <row r="909" spans="1:14" x14ac:dyDescent="0.25">
      <c r="A909" s="5" t="s">
        <v>336</v>
      </c>
      <c r="B909" s="5" t="s">
        <v>308</v>
      </c>
      <c r="C909" s="5" t="s">
        <v>21</v>
      </c>
      <c r="D909" s="5" t="s">
        <v>18</v>
      </c>
      <c r="E909" s="5">
        <v>66</v>
      </c>
      <c r="F909" s="5">
        <v>27324</v>
      </c>
      <c r="G909" s="5">
        <v>9689</v>
      </c>
      <c r="H909" s="5">
        <v>7</v>
      </c>
      <c r="I909" s="5">
        <v>61</v>
      </c>
      <c r="J909" s="5">
        <v>0</v>
      </c>
      <c r="K909" s="5">
        <v>4.4000000000000004</v>
      </c>
      <c r="L909" s="6">
        <f t="shared" si="42"/>
        <v>0.35459669155321327</v>
      </c>
      <c r="M909" s="7">
        <f t="shared" si="43"/>
        <v>414</v>
      </c>
      <c r="N909" s="5">
        <f t="shared" si="44"/>
        <v>9.4285714285714288</v>
      </c>
    </row>
    <row r="910" spans="1:14" x14ac:dyDescent="0.25">
      <c r="A910" s="2" t="s">
        <v>336</v>
      </c>
      <c r="B910" s="2" t="s">
        <v>308</v>
      </c>
      <c r="C910" s="2" t="s">
        <v>21</v>
      </c>
      <c r="D910" s="2" t="s">
        <v>19</v>
      </c>
      <c r="E910" s="2">
        <v>50</v>
      </c>
      <c r="F910" s="2">
        <v>10300</v>
      </c>
      <c r="G910" s="2">
        <v>4215</v>
      </c>
      <c r="H910" s="2">
        <v>5</v>
      </c>
      <c r="I910" s="2">
        <v>47</v>
      </c>
      <c r="J910" s="2">
        <v>2</v>
      </c>
      <c r="K910" s="2">
        <v>4.5999999999999996</v>
      </c>
      <c r="L910" s="3">
        <f t="shared" si="42"/>
        <v>0.40922330097087378</v>
      </c>
      <c r="M910" s="4">
        <f t="shared" si="43"/>
        <v>206</v>
      </c>
      <c r="N910" s="2">
        <f t="shared" si="44"/>
        <v>10</v>
      </c>
    </row>
    <row r="911" spans="1:14" x14ac:dyDescent="0.25">
      <c r="A911" s="5" t="s">
        <v>337</v>
      </c>
      <c r="B911" s="5" t="s">
        <v>308</v>
      </c>
      <c r="C911" s="5" t="s">
        <v>23</v>
      </c>
      <c r="D911" s="5" t="s">
        <v>17</v>
      </c>
      <c r="E911" s="5">
        <v>22</v>
      </c>
      <c r="F911" s="5">
        <v>6028</v>
      </c>
      <c r="G911" s="5">
        <v>2320</v>
      </c>
      <c r="H911" s="5">
        <v>4</v>
      </c>
      <c r="I911" s="5">
        <v>54</v>
      </c>
      <c r="J911" s="5">
        <v>0</v>
      </c>
      <c r="K911" s="5">
        <v>4.2</v>
      </c>
      <c r="L911" s="6">
        <f t="shared" si="42"/>
        <v>0.38487060384870603</v>
      </c>
      <c r="M911" s="7">
        <f t="shared" si="43"/>
        <v>274</v>
      </c>
      <c r="N911" s="5">
        <f t="shared" si="44"/>
        <v>5.5</v>
      </c>
    </row>
    <row r="912" spans="1:14" x14ac:dyDescent="0.25">
      <c r="A912" s="2" t="s">
        <v>337</v>
      </c>
      <c r="B912" s="2" t="s">
        <v>308</v>
      </c>
      <c r="C912" s="2" t="s">
        <v>23</v>
      </c>
      <c r="D912" s="2" t="s">
        <v>18</v>
      </c>
      <c r="E912" s="2">
        <v>120</v>
      </c>
      <c r="F912" s="2">
        <v>43080</v>
      </c>
      <c r="G912" s="2">
        <v>13987</v>
      </c>
      <c r="H912" s="2">
        <v>8</v>
      </c>
      <c r="I912" s="2">
        <v>54</v>
      </c>
      <c r="J912" s="2">
        <v>0</v>
      </c>
      <c r="K912" s="2">
        <v>4.7</v>
      </c>
      <c r="L912" s="3">
        <f t="shared" si="42"/>
        <v>0.32467502321262764</v>
      </c>
      <c r="M912" s="4">
        <f t="shared" si="43"/>
        <v>359</v>
      </c>
      <c r="N912" s="2">
        <f t="shared" si="44"/>
        <v>15</v>
      </c>
    </row>
    <row r="913" spans="1:14" x14ac:dyDescent="0.25">
      <c r="A913" s="5" t="s">
        <v>337</v>
      </c>
      <c r="B913" s="5" t="s">
        <v>308</v>
      </c>
      <c r="C913" s="5" t="s">
        <v>23</v>
      </c>
      <c r="D913" s="5" t="s">
        <v>19</v>
      </c>
      <c r="E913" s="5">
        <v>58</v>
      </c>
      <c r="F913" s="5">
        <v>18212</v>
      </c>
      <c r="G913" s="5">
        <v>7161</v>
      </c>
      <c r="H913" s="5">
        <v>5</v>
      </c>
      <c r="I913" s="5">
        <v>65</v>
      </c>
      <c r="J913" s="5">
        <v>0</v>
      </c>
      <c r="K913" s="5">
        <v>4.5</v>
      </c>
      <c r="L913" s="6">
        <f t="shared" si="42"/>
        <v>0.39320228420821435</v>
      </c>
      <c r="M913" s="7">
        <f t="shared" si="43"/>
        <v>314</v>
      </c>
      <c r="N913" s="5">
        <f t="shared" si="44"/>
        <v>11.6</v>
      </c>
    </row>
    <row r="914" spans="1:14" x14ac:dyDescent="0.25">
      <c r="A914" s="2" t="s">
        <v>338</v>
      </c>
      <c r="B914" s="2" t="s">
        <v>308</v>
      </c>
      <c r="C914" s="2" t="s">
        <v>25</v>
      </c>
      <c r="D914" s="2" t="s">
        <v>17</v>
      </c>
      <c r="E914" s="2">
        <v>27</v>
      </c>
      <c r="F914" s="2">
        <v>5292</v>
      </c>
      <c r="G914" s="2">
        <v>1921</v>
      </c>
      <c r="H914" s="2">
        <v>3</v>
      </c>
      <c r="I914" s="2">
        <v>50</v>
      </c>
      <c r="J914" s="2">
        <v>0</v>
      </c>
      <c r="K914" s="2">
        <v>4.2</v>
      </c>
      <c r="L914" s="3">
        <f t="shared" si="42"/>
        <v>0.3630007558578987</v>
      </c>
      <c r="M914" s="4">
        <f t="shared" si="43"/>
        <v>196</v>
      </c>
      <c r="N914" s="2">
        <f t="shared" si="44"/>
        <v>9</v>
      </c>
    </row>
    <row r="915" spans="1:14" x14ac:dyDescent="0.25">
      <c r="A915" s="5" t="s">
        <v>338</v>
      </c>
      <c r="B915" s="5" t="s">
        <v>308</v>
      </c>
      <c r="C915" s="5" t="s">
        <v>25</v>
      </c>
      <c r="D915" s="5" t="s">
        <v>18</v>
      </c>
      <c r="E915" s="5">
        <v>73</v>
      </c>
      <c r="F915" s="5">
        <v>21462</v>
      </c>
      <c r="G915" s="5">
        <v>8134</v>
      </c>
      <c r="H915" s="5">
        <v>6</v>
      </c>
      <c r="I915" s="5">
        <v>54</v>
      </c>
      <c r="J915" s="5">
        <v>1</v>
      </c>
      <c r="K915" s="5">
        <v>4.5</v>
      </c>
      <c r="L915" s="6">
        <f t="shared" si="42"/>
        <v>0.37899543378995432</v>
      </c>
      <c r="M915" s="7">
        <f t="shared" si="43"/>
        <v>294</v>
      </c>
      <c r="N915" s="5">
        <f t="shared" si="44"/>
        <v>12.166666666666666</v>
      </c>
    </row>
    <row r="916" spans="1:14" x14ac:dyDescent="0.25">
      <c r="A916" s="2" t="s">
        <v>338</v>
      </c>
      <c r="B916" s="2" t="s">
        <v>308</v>
      </c>
      <c r="C916" s="2" t="s">
        <v>25</v>
      </c>
      <c r="D916" s="2" t="s">
        <v>19</v>
      </c>
      <c r="E916" s="2">
        <v>56</v>
      </c>
      <c r="F916" s="2">
        <v>17808</v>
      </c>
      <c r="G916" s="2">
        <v>6752</v>
      </c>
      <c r="H916" s="2">
        <v>5</v>
      </c>
      <c r="I916" s="2">
        <v>45</v>
      </c>
      <c r="J916" s="2">
        <v>2</v>
      </c>
      <c r="K916" s="2">
        <v>4.2</v>
      </c>
      <c r="L916" s="3">
        <f t="shared" si="42"/>
        <v>0.37915543575920935</v>
      </c>
      <c r="M916" s="4">
        <f t="shared" si="43"/>
        <v>318</v>
      </c>
      <c r="N916" s="2">
        <f t="shared" si="44"/>
        <v>11.2</v>
      </c>
    </row>
    <row r="917" spans="1:14" x14ac:dyDescent="0.25">
      <c r="A917" s="5" t="s">
        <v>339</v>
      </c>
      <c r="B917" s="5" t="s">
        <v>340</v>
      </c>
      <c r="C917" s="5" t="s">
        <v>27</v>
      </c>
      <c r="D917" s="5" t="s">
        <v>17</v>
      </c>
      <c r="E917" s="5">
        <v>51</v>
      </c>
      <c r="F917" s="5">
        <v>9894</v>
      </c>
      <c r="G917" s="5">
        <v>3079</v>
      </c>
      <c r="H917" s="5">
        <v>3</v>
      </c>
      <c r="I917" s="5">
        <v>35</v>
      </c>
      <c r="J917" s="5">
        <v>1</v>
      </c>
      <c r="K917" s="5">
        <v>4.0999999999999996</v>
      </c>
      <c r="L917" s="6">
        <f t="shared" si="42"/>
        <v>0.31119870628663837</v>
      </c>
      <c r="M917" s="7">
        <f t="shared" si="43"/>
        <v>194</v>
      </c>
      <c r="N917" s="5">
        <f t="shared" si="44"/>
        <v>17</v>
      </c>
    </row>
    <row r="918" spans="1:14" x14ac:dyDescent="0.25">
      <c r="A918" s="2" t="s">
        <v>339</v>
      </c>
      <c r="B918" s="2" t="s">
        <v>340</v>
      </c>
      <c r="C918" s="2" t="s">
        <v>27</v>
      </c>
      <c r="D918" s="2" t="s">
        <v>18</v>
      </c>
      <c r="E918" s="2">
        <v>172</v>
      </c>
      <c r="F918" s="2">
        <v>72756</v>
      </c>
      <c r="G918" s="2">
        <v>27905</v>
      </c>
      <c r="H918" s="2">
        <v>8</v>
      </c>
      <c r="I918" s="2">
        <v>74</v>
      </c>
      <c r="J918" s="2">
        <v>1</v>
      </c>
      <c r="K918" s="2">
        <v>4.8</v>
      </c>
      <c r="L918" s="3">
        <f t="shared" si="42"/>
        <v>0.38354225081092969</v>
      </c>
      <c r="M918" s="4">
        <f t="shared" si="43"/>
        <v>423</v>
      </c>
      <c r="N918" s="2">
        <f t="shared" si="44"/>
        <v>21.5</v>
      </c>
    </row>
    <row r="919" spans="1:14" x14ac:dyDescent="0.25">
      <c r="A919" s="5" t="s">
        <v>339</v>
      </c>
      <c r="B919" s="5" t="s">
        <v>340</v>
      </c>
      <c r="C919" s="5" t="s">
        <v>27</v>
      </c>
      <c r="D919" s="5" t="s">
        <v>19</v>
      </c>
      <c r="E919" s="5">
        <v>73</v>
      </c>
      <c r="F919" s="5">
        <v>23944</v>
      </c>
      <c r="G919" s="5">
        <v>7948</v>
      </c>
      <c r="H919" s="5">
        <v>7</v>
      </c>
      <c r="I919" s="5">
        <v>44</v>
      </c>
      <c r="J919" s="5">
        <v>2</v>
      </c>
      <c r="K919" s="5">
        <v>4.4000000000000004</v>
      </c>
      <c r="L919" s="6">
        <f t="shared" si="42"/>
        <v>0.33194119612429002</v>
      </c>
      <c r="M919" s="7">
        <f t="shared" si="43"/>
        <v>328</v>
      </c>
      <c r="N919" s="5">
        <f t="shared" si="44"/>
        <v>10.428571428571429</v>
      </c>
    </row>
    <row r="920" spans="1:14" x14ac:dyDescent="0.25">
      <c r="A920" s="2" t="s">
        <v>341</v>
      </c>
      <c r="B920" s="2" t="s">
        <v>340</v>
      </c>
      <c r="C920" s="2" t="s">
        <v>29</v>
      </c>
      <c r="D920" s="2" t="s">
        <v>17</v>
      </c>
      <c r="E920" s="2">
        <v>75</v>
      </c>
      <c r="F920" s="2">
        <v>15525</v>
      </c>
      <c r="G920" s="2">
        <v>5971</v>
      </c>
      <c r="H920" s="2">
        <v>5</v>
      </c>
      <c r="I920" s="2">
        <v>54</v>
      </c>
      <c r="J920" s="2">
        <v>0</v>
      </c>
      <c r="K920" s="2">
        <v>3.9</v>
      </c>
      <c r="L920" s="3">
        <f t="shared" si="42"/>
        <v>0.38460547504025766</v>
      </c>
      <c r="M920" s="4">
        <f t="shared" si="43"/>
        <v>207</v>
      </c>
      <c r="N920" s="2">
        <f t="shared" si="44"/>
        <v>15</v>
      </c>
    </row>
    <row r="921" spans="1:14" x14ac:dyDescent="0.25">
      <c r="A921" s="5" t="s">
        <v>341</v>
      </c>
      <c r="B921" s="5" t="s">
        <v>340</v>
      </c>
      <c r="C921" s="5" t="s">
        <v>29</v>
      </c>
      <c r="D921" s="5" t="s">
        <v>18</v>
      </c>
      <c r="E921" s="5">
        <v>141</v>
      </c>
      <c r="F921" s="5">
        <v>48927</v>
      </c>
      <c r="G921" s="5">
        <v>14658</v>
      </c>
      <c r="H921" s="5">
        <v>10</v>
      </c>
      <c r="I921" s="5">
        <v>69</v>
      </c>
      <c r="J921" s="5">
        <v>1</v>
      </c>
      <c r="K921" s="5">
        <v>3.7</v>
      </c>
      <c r="L921" s="6">
        <f t="shared" si="42"/>
        <v>0.29958918388619782</v>
      </c>
      <c r="M921" s="7">
        <f t="shared" si="43"/>
        <v>347</v>
      </c>
      <c r="N921" s="5">
        <f t="shared" si="44"/>
        <v>14.1</v>
      </c>
    </row>
    <row r="922" spans="1:14" x14ac:dyDescent="0.25">
      <c r="A922" s="2" t="s">
        <v>341</v>
      </c>
      <c r="B922" s="2" t="s">
        <v>340</v>
      </c>
      <c r="C922" s="2" t="s">
        <v>29</v>
      </c>
      <c r="D922" s="2" t="s">
        <v>19</v>
      </c>
      <c r="E922" s="2">
        <v>61</v>
      </c>
      <c r="F922" s="2">
        <v>13908</v>
      </c>
      <c r="G922" s="2">
        <v>5268</v>
      </c>
      <c r="H922" s="2">
        <v>6</v>
      </c>
      <c r="I922" s="2">
        <v>64</v>
      </c>
      <c r="J922" s="2">
        <v>2</v>
      </c>
      <c r="K922" s="2">
        <v>3.6</v>
      </c>
      <c r="L922" s="3">
        <f t="shared" si="42"/>
        <v>0.37877480586712681</v>
      </c>
      <c r="M922" s="4">
        <f t="shared" si="43"/>
        <v>228</v>
      </c>
      <c r="N922" s="2">
        <f t="shared" si="44"/>
        <v>10.166666666666666</v>
      </c>
    </row>
    <row r="923" spans="1:14" x14ac:dyDescent="0.25">
      <c r="A923" s="5" t="s">
        <v>342</v>
      </c>
      <c r="B923" s="5" t="s">
        <v>340</v>
      </c>
      <c r="C923" s="5" t="s">
        <v>31</v>
      </c>
      <c r="D923" s="5" t="s">
        <v>17</v>
      </c>
      <c r="E923" s="5">
        <v>62</v>
      </c>
      <c r="F923" s="5">
        <v>12338</v>
      </c>
      <c r="G923" s="5">
        <v>4235</v>
      </c>
      <c r="H923" s="5">
        <v>3</v>
      </c>
      <c r="I923" s="5">
        <v>42</v>
      </c>
      <c r="J923" s="5">
        <v>0</v>
      </c>
      <c r="K923" s="5">
        <v>3.9</v>
      </c>
      <c r="L923" s="6">
        <f t="shared" si="42"/>
        <v>0.3432485005673529</v>
      </c>
      <c r="M923" s="7">
        <f t="shared" si="43"/>
        <v>199</v>
      </c>
      <c r="N923" s="5">
        <f t="shared" si="44"/>
        <v>20.666666666666668</v>
      </c>
    </row>
    <row r="924" spans="1:14" x14ac:dyDescent="0.25">
      <c r="A924" s="2" t="s">
        <v>342</v>
      </c>
      <c r="B924" s="2" t="s">
        <v>340</v>
      </c>
      <c r="C924" s="2" t="s">
        <v>31</v>
      </c>
      <c r="D924" s="2" t="s">
        <v>18</v>
      </c>
      <c r="E924" s="2">
        <v>170</v>
      </c>
      <c r="F924" s="2">
        <v>63240</v>
      </c>
      <c r="G924" s="2">
        <v>18560</v>
      </c>
      <c r="H924" s="2">
        <v>7</v>
      </c>
      <c r="I924" s="2">
        <v>61</v>
      </c>
      <c r="J924" s="2">
        <v>3</v>
      </c>
      <c r="K924" s="2">
        <v>3.6</v>
      </c>
      <c r="L924" s="3">
        <f t="shared" si="42"/>
        <v>0.2934851359898798</v>
      </c>
      <c r="M924" s="4">
        <f t="shared" si="43"/>
        <v>372</v>
      </c>
      <c r="N924" s="2">
        <f t="shared" si="44"/>
        <v>24.285714285714285</v>
      </c>
    </row>
    <row r="925" spans="1:14" x14ac:dyDescent="0.25">
      <c r="A925" s="5" t="s">
        <v>342</v>
      </c>
      <c r="B925" s="5" t="s">
        <v>340</v>
      </c>
      <c r="C925" s="5" t="s">
        <v>31</v>
      </c>
      <c r="D925" s="5" t="s">
        <v>19</v>
      </c>
      <c r="E925" s="5">
        <v>44</v>
      </c>
      <c r="F925" s="5">
        <v>9548</v>
      </c>
      <c r="G925" s="5">
        <v>2749</v>
      </c>
      <c r="H925" s="5">
        <v>5</v>
      </c>
      <c r="I925" s="5">
        <v>60</v>
      </c>
      <c r="J925" s="5">
        <v>3</v>
      </c>
      <c r="K925" s="5">
        <v>4</v>
      </c>
      <c r="L925" s="6">
        <f t="shared" si="42"/>
        <v>0.28791369920402177</v>
      </c>
      <c r="M925" s="7">
        <f t="shared" si="43"/>
        <v>217</v>
      </c>
      <c r="N925" s="5">
        <f t="shared" si="44"/>
        <v>8.8000000000000007</v>
      </c>
    </row>
    <row r="926" spans="1:14" x14ac:dyDescent="0.25">
      <c r="A926" s="2" t="s">
        <v>343</v>
      </c>
      <c r="B926" s="2" t="s">
        <v>340</v>
      </c>
      <c r="C926" s="2" t="s">
        <v>16</v>
      </c>
      <c r="D926" s="2" t="s">
        <v>17</v>
      </c>
      <c r="E926" s="2">
        <v>45</v>
      </c>
      <c r="F926" s="2">
        <v>10620</v>
      </c>
      <c r="G926" s="2">
        <v>3564</v>
      </c>
      <c r="H926" s="2">
        <v>5</v>
      </c>
      <c r="I926" s="2">
        <v>44</v>
      </c>
      <c r="J926" s="2">
        <v>0</v>
      </c>
      <c r="K926" s="2">
        <v>3.9</v>
      </c>
      <c r="L926" s="3">
        <f t="shared" si="42"/>
        <v>0.33559322033898303</v>
      </c>
      <c r="M926" s="4">
        <f t="shared" si="43"/>
        <v>236</v>
      </c>
      <c r="N926" s="2">
        <f t="shared" si="44"/>
        <v>9</v>
      </c>
    </row>
    <row r="927" spans="1:14" x14ac:dyDescent="0.25">
      <c r="A927" s="5" t="s">
        <v>343</v>
      </c>
      <c r="B927" s="5" t="s">
        <v>340</v>
      </c>
      <c r="C927" s="5" t="s">
        <v>16</v>
      </c>
      <c r="D927" s="5" t="s">
        <v>18</v>
      </c>
      <c r="E927" s="5">
        <v>59</v>
      </c>
      <c r="F927" s="5">
        <v>26255</v>
      </c>
      <c r="G927" s="5">
        <v>7584</v>
      </c>
      <c r="H927" s="5">
        <v>7</v>
      </c>
      <c r="I927" s="5">
        <v>56</v>
      </c>
      <c r="J927" s="5">
        <v>1</v>
      </c>
      <c r="K927" s="5">
        <v>4.3</v>
      </c>
      <c r="L927" s="6">
        <f t="shared" si="42"/>
        <v>0.28885926490192343</v>
      </c>
      <c r="M927" s="7">
        <f t="shared" si="43"/>
        <v>445</v>
      </c>
      <c r="N927" s="5">
        <f t="shared" si="44"/>
        <v>8.4285714285714288</v>
      </c>
    </row>
    <row r="928" spans="1:14" x14ac:dyDescent="0.25">
      <c r="A928" s="2" t="s">
        <v>343</v>
      </c>
      <c r="B928" s="2" t="s">
        <v>340</v>
      </c>
      <c r="C928" s="2" t="s">
        <v>16</v>
      </c>
      <c r="D928" s="2" t="s">
        <v>19</v>
      </c>
      <c r="E928" s="2">
        <v>57</v>
      </c>
      <c r="F928" s="2">
        <v>17727</v>
      </c>
      <c r="G928" s="2">
        <v>5360</v>
      </c>
      <c r="H928" s="2">
        <v>7</v>
      </c>
      <c r="I928" s="2">
        <v>43</v>
      </c>
      <c r="J928" s="2">
        <v>2</v>
      </c>
      <c r="K928" s="2">
        <v>4.0999999999999996</v>
      </c>
      <c r="L928" s="3">
        <f t="shared" si="42"/>
        <v>0.3023636261070683</v>
      </c>
      <c r="M928" s="4">
        <f t="shared" si="43"/>
        <v>311</v>
      </c>
      <c r="N928" s="2">
        <f t="shared" si="44"/>
        <v>8.1428571428571423</v>
      </c>
    </row>
    <row r="929" spans="1:14" x14ac:dyDescent="0.25">
      <c r="A929" s="5" t="s">
        <v>344</v>
      </c>
      <c r="B929" s="5" t="s">
        <v>340</v>
      </c>
      <c r="C929" s="5" t="s">
        <v>21</v>
      </c>
      <c r="D929" s="5" t="s">
        <v>17</v>
      </c>
      <c r="E929" s="5">
        <v>31</v>
      </c>
      <c r="F929" s="5">
        <v>7502</v>
      </c>
      <c r="G929" s="5">
        <v>2900</v>
      </c>
      <c r="H929" s="5">
        <v>4</v>
      </c>
      <c r="I929" s="5">
        <v>45</v>
      </c>
      <c r="J929" s="5">
        <v>0</v>
      </c>
      <c r="K929" s="5">
        <v>4.3</v>
      </c>
      <c r="L929" s="6">
        <f t="shared" si="42"/>
        <v>0.38656358304452149</v>
      </c>
      <c r="M929" s="7">
        <f t="shared" si="43"/>
        <v>242</v>
      </c>
      <c r="N929" s="5">
        <f t="shared" si="44"/>
        <v>7.75</v>
      </c>
    </row>
    <row r="930" spans="1:14" x14ac:dyDescent="0.25">
      <c r="A930" s="2" t="s">
        <v>344</v>
      </c>
      <c r="B930" s="2" t="s">
        <v>340</v>
      </c>
      <c r="C930" s="2" t="s">
        <v>21</v>
      </c>
      <c r="D930" s="2" t="s">
        <v>18</v>
      </c>
      <c r="E930" s="2">
        <v>127</v>
      </c>
      <c r="F930" s="2">
        <v>56007</v>
      </c>
      <c r="G930" s="2">
        <v>19257</v>
      </c>
      <c r="H930" s="2">
        <v>7</v>
      </c>
      <c r="I930" s="2">
        <v>57</v>
      </c>
      <c r="J930" s="2">
        <v>0</v>
      </c>
      <c r="K930" s="2">
        <v>4.5</v>
      </c>
      <c r="L930" s="3">
        <f t="shared" si="42"/>
        <v>0.34383202099737531</v>
      </c>
      <c r="M930" s="4">
        <f t="shared" si="43"/>
        <v>441</v>
      </c>
      <c r="N930" s="2">
        <f t="shared" si="44"/>
        <v>18.142857142857142</v>
      </c>
    </row>
    <row r="931" spans="1:14" x14ac:dyDescent="0.25">
      <c r="A931" s="5" t="s">
        <v>344</v>
      </c>
      <c r="B931" s="5" t="s">
        <v>340</v>
      </c>
      <c r="C931" s="5" t="s">
        <v>21</v>
      </c>
      <c r="D931" s="5" t="s">
        <v>19</v>
      </c>
      <c r="E931" s="5">
        <v>38</v>
      </c>
      <c r="F931" s="5">
        <v>9462</v>
      </c>
      <c r="G931" s="5">
        <v>2709</v>
      </c>
      <c r="H931" s="5">
        <v>5</v>
      </c>
      <c r="I931" s="5">
        <v>42</v>
      </c>
      <c r="J931" s="5">
        <v>2</v>
      </c>
      <c r="K931" s="5">
        <v>4.4000000000000004</v>
      </c>
      <c r="L931" s="6">
        <f t="shared" si="42"/>
        <v>0.28630310716550411</v>
      </c>
      <c r="M931" s="7">
        <f t="shared" si="43"/>
        <v>249</v>
      </c>
      <c r="N931" s="5">
        <f t="shared" si="44"/>
        <v>7.6</v>
      </c>
    </row>
    <row r="932" spans="1:14" x14ac:dyDescent="0.25">
      <c r="A932" s="2" t="s">
        <v>345</v>
      </c>
      <c r="B932" s="2" t="s">
        <v>340</v>
      </c>
      <c r="C932" s="2" t="s">
        <v>23</v>
      </c>
      <c r="D932" s="2" t="s">
        <v>17</v>
      </c>
      <c r="E932" s="2">
        <v>43</v>
      </c>
      <c r="F932" s="2">
        <v>10535</v>
      </c>
      <c r="G932" s="2">
        <v>3294</v>
      </c>
      <c r="H932" s="2">
        <v>4</v>
      </c>
      <c r="I932" s="2">
        <v>51</v>
      </c>
      <c r="J932" s="2">
        <v>0</v>
      </c>
      <c r="K932" s="2">
        <v>4.0999999999999996</v>
      </c>
      <c r="L932" s="3">
        <f t="shared" si="42"/>
        <v>0.31267204556241102</v>
      </c>
      <c r="M932" s="4">
        <f t="shared" si="43"/>
        <v>245</v>
      </c>
      <c r="N932" s="2">
        <f t="shared" si="44"/>
        <v>10.75</v>
      </c>
    </row>
    <row r="933" spans="1:14" x14ac:dyDescent="0.25">
      <c r="A933" s="5" t="s">
        <v>345</v>
      </c>
      <c r="B933" s="5" t="s">
        <v>340</v>
      </c>
      <c r="C933" s="5" t="s">
        <v>23</v>
      </c>
      <c r="D933" s="5" t="s">
        <v>18</v>
      </c>
      <c r="E933" s="5">
        <v>101</v>
      </c>
      <c r="F933" s="5">
        <v>40804</v>
      </c>
      <c r="G933" s="5">
        <v>14386</v>
      </c>
      <c r="H933" s="5">
        <v>9</v>
      </c>
      <c r="I933" s="5">
        <v>66</v>
      </c>
      <c r="J933" s="5">
        <v>0</v>
      </c>
      <c r="K933" s="5">
        <v>4</v>
      </c>
      <c r="L933" s="6">
        <f t="shared" si="42"/>
        <v>0.35256347416919909</v>
      </c>
      <c r="M933" s="7">
        <f t="shared" si="43"/>
        <v>404</v>
      </c>
      <c r="N933" s="5">
        <f t="shared" si="44"/>
        <v>11.222222222222221</v>
      </c>
    </row>
    <row r="934" spans="1:14" x14ac:dyDescent="0.25">
      <c r="A934" s="2" t="s">
        <v>345</v>
      </c>
      <c r="B934" s="2" t="s">
        <v>340</v>
      </c>
      <c r="C934" s="2" t="s">
        <v>23</v>
      </c>
      <c r="D934" s="2" t="s">
        <v>19</v>
      </c>
      <c r="E934" s="2">
        <v>57</v>
      </c>
      <c r="F934" s="2">
        <v>11685</v>
      </c>
      <c r="G934" s="2">
        <v>3843</v>
      </c>
      <c r="H934" s="2">
        <v>4</v>
      </c>
      <c r="I934" s="2">
        <v>44</v>
      </c>
      <c r="J934" s="2">
        <v>3</v>
      </c>
      <c r="K934" s="2">
        <v>3.8</v>
      </c>
      <c r="L934" s="3">
        <f t="shared" si="42"/>
        <v>0.32888318356867779</v>
      </c>
      <c r="M934" s="4">
        <f t="shared" si="43"/>
        <v>205</v>
      </c>
      <c r="N934" s="2">
        <f t="shared" si="44"/>
        <v>14.25</v>
      </c>
    </row>
    <row r="935" spans="1:14" x14ac:dyDescent="0.25">
      <c r="A935" s="5" t="s">
        <v>346</v>
      </c>
      <c r="B935" s="5" t="s">
        <v>340</v>
      </c>
      <c r="C935" s="5" t="s">
        <v>25</v>
      </c>
      <c r="D935" s="5" t="s">
        <v>17</v>
      </c>
      <c r="E935" s="5">
        <v>55</v>
      </c>
      <c r="F935" s="5">
        <v>10065</v>
      </c>
      <c r="G935" s="5">
        <v>3057</v>
      </c>
      <c r="H935" s="5">
        <v>4</v>
      </c>
      <c r="I935" s="5">
        <v>52</v>
      </c>
      <c r="J935" s="5">
        <v>0</v>
      </c>
      <c r="K935" s="5">
        <v>4.5</v>
      </c>
      <c r="L935" s="6">
        <f t="shared" si="42"/>
        <v>0.30372578241430698</v>
      </c>
      <c r="M935" s="7">
        <f t="shared" si="43"/>
        <v>183</v>
      </c>
      <c r="N935" s="5">
        <f t="shared" si="44"/>
        <v>13.75</v>
      </c>
    </row>
    <row r="936" spans="1:14" x14ac:dyDescent="0.25">
      <c r="A936" s="2" t="s">
        <v>346</v>
      </c>
      <c r="B936" s="2" t="s">
        <v>340</v>
      </c>
      <c r="C936" s="2" t="s">
        <v>25</v>
      </c>
      <c r="D936" s="2" t="s">
        <v>18</v>
      </c>
      <c r="E936" s="2">
        <v>105</v>
      </c>
      <c r="F936" s="2">
        <v>39795</v>
      </c>
      <c r="G936" s="2">
        <v>11658</v>
      </c>
      <c r="H936" s="2">
        <v>9</v>
      </c>
      <c r="I936" s="2">
        <v>54</v>
      </c>
      <c r="J936" s="2">
        <v>4</v>
      </c>
      <c r="K936" s="2">
        <v>4.0999999999999996</v>
      </c>
      <c r="L936" s="3">
        <f t="shared" si="42"/>
        <v>0.29295137580098002</v>
      </c>
      <c r="M936" s="4">
        <f t="shared" si="43"/>
        <v>379</v>
      </c>
      <c r="N936" s="2">
        <f t="shared" si="44"/>
        <v>11.666666666666666</v>
      </c>
    </row>
    <row r="937" spans="1:14" x14ac:dyDescent="0.25">
      <c r="A937" s="5" t="s">
        <v>346</v>
      </c>
      <c r="B937" s="5" t="s">
        <v>340</v>
      </c>
      <c r="C937" s="5" t="s">
        <v>25</v>
      </c>
      <c r="D937" s="5" t="s">
        <v>19</v>
      </c>
      <c r="E937" s="5">
        <v>64</v>
      </c>
      <c r="F937" s="5">
        <v>19904</v>
      </c>
      <c r="G937" s="5">
        <v>8081</v>
      </c>
      <c r="H937" s="5">
        <v>7</v>
      </c>
      <c r="I937" s="5">
        <v>53</v>
      </c>
      <c r="J937" s="5">
        <v>0</v>
      </c>
      <c r="K937" s="5">
        <v>3.9</v>
      </c>
      <c r="L937" s="6">
        <f t="shared" si="42"/>
        <v>0.40599879421221863</v>
      </c>
      <c r="M937" s="7">
        <f t="shared" si="43"/>
        <v>311</v>
      </c>
      <c r="N937" s="5">
        <f t="shared" si="44"/>
        <v>9.1428571428571423</v>
      </c>
    </row>
    <row r="938" spans="1:14" x14ac:dyDescent="0.25">
      <c r="A938" s="2" t="s">
        <v>347</v>
      </c>
      <c r="B938" s="2" t="s">
        <v>340</v>
      </c>
      <c r="C938" s="2" t="s">
        <v>27</v>
      </c>
      <c r="D938" s="2" t="s">
        <v>17</v>
      </c>
      <c r="E938" s="2">
        <v>52</v>
      </c>
      <c r="F938" s="2">
        <v>11804</v>
      </c>
      <c r="G938" s="2">
        <v>4628</v>
      </c>
      <c r="H938" s="2">
        <v>4</v>
      </c>
      <c r="I938" s="2">
        <v>44</v>
      </c>
      <c r="J938" s="2">
        <v>1</v>
      </c>
      <c r="K938" s="2">
        <v>3.9</v>
      </c>
      <c r="L938" s="3">
        <f t="shared" si="42"/>
        <v>0.39207048458149779</v>
      </c>
      <c r="M938" s="4">
        <f t="shared" si="43"/>
        <v>227</v>
      </c>
      <c r="N938" s="2">
        <f t="shared" si="44"/>
        <v>13</v>
      </c>
    </row>
    <row r="939" spans="1:14" x14ac:dyDescent="0.25">
      <c r="A939" s="5" t="s">
        <v>347</v>
      </c>
      <c r="B939" s="5" t="s">
        <v>340</v>
      </c>
      <c r="C939" s="5" t="s">
        <v>27</v>
      </c>
      <c r="D939" s="5" t="s">
        <v>18</v>
      </c>
      <c r="E939" s="5">
        <v>179</v>
      </c>
      <c r="F939" s="5">
        <v>84309</v>
      </c>
      <c r="G939" s="5">
        <v>29855</v>
      </c>
      <c r="H939" s="5">
        <v>9</v>
      </c>
      <c r="I939" s="5">
        <v>68</v>
      </c>
      <c r="J939" s="5">
        <v>3</v>
      </c>
      <c r="K939" s="5">
        <v>4.4000000000000004</v>
      </c>
      <c r="L939" s="6">
        <f t="shared" si="42"/>
        <v>0.35411403290277432</v>
      </c>
      <c r="M939" s="7">
        <f t="shared" si="43"/>
        <v>471</v>
      </c>
      <c r="N939" s="5">
        <f t="shared" si="44"/>
        <v>19.888888888888889</v>
      </c>
    </row>
    <row r="940" spans="1:14" x14ac:dyDescent="0.25">
      <c r="A940" s="2" t="s">
        <v>347</v>
      </c>
      <c r="B940" s="2" t="s">
        <v>340</v>
      </c>
      <c r="C940" s="2" t="s">
        <v>27</v>
      </c>
      <c r="D940" s="2" t="s">
        <v>19</v>
      </c>
      <c r="E940" s="2">
        <v>55</v>
      </c>
      <c r="F940" s="2">
        <v>11055</v>
      </c>
      <c r="G940" s="2">
        <v>3336</v>
      </c>
      <c r="H940" s="2">
        <v>4</v>
      </c>
      <c r="I940" s="2">
        <v>42</v>
      </c>
      <c r="J940" s="2">
        <v>1</v>
      </c>
      <c r="K940" s="2">
        <v>4.3</v>
      </c>
      <c r="L940" s="3">
        <f t="shared" si="42"/>
        <v>0.30176390773405698</v>
      </c>
      <c r="M940" s="4">
        <f t="shared" si="43"/>
        <v>201</v>
      </c>
      <c r="N940" s="2">
        <f t="shared" si="44"/>
        <v>13.75</v>
      </c>
    </row>
    <row r="941" spans="1:14" x14ac:dyDescent="0.25">
      <c r="A941" s="5" t="s">
        <v>348</v>
      </c>
      <c r="B941" s="5" t="s">
        <v>340</v>
      </c>
      <c r="C941" s="5" t="s">
        <v>29</v>
      </c>
      <c r="D941" s="5" t="s">
        <v>17</v>
      </c>
      <c r="E941" s="5">
        <v>32</v>
      </c>
      <c r="F941" s="5">
        <v>7232</v>
      </c>
      <c r="G941" s="5">
        <v>2987</v>
      </c>
      <c r="H941" s="5">
        <v>3</v>
      </c>
      <c r="I941" s="5">
        <v>51</v>
      </c>
      <c r="J941" s="5">
        <v>2</v>
      </c>
      <c r="K941" s="5">
        <v>4.0999999999999996</v>
      </c>
      <c r="L941" s="6">
        <f t="shared" si="42"/>
        <v>0.41302544247787609</v>
      </c>
      <c r="M941" s="7">
        <f t="shared" si="43"/>
        <v>226</v>
      </c>
      <c r="N941" s="5">
        <f t="shared" si="44"/>
        <v>10.666666666666666</v>
      </c>
    </row>
    <row r="942" spans="1:14" x14ac:dyDescent="0.25">
      <c r="A942" s="2" t="s">
        <v>348</v>
      </c>
      <c r="B942" s="2" t="s">
        <v>340</v>
      </c>
      <c r="C942" s="2" t="s">
        <v>29</v>
      </c>
      <c r="D942" s="2" t="s">
        <v>18</v>
      </c>
      <c r="E942" s="2">
        <v>157</v>
      </c>
      <c r="F942" s="2">
        <v>66568</v>
      </c>
      <c r="G942" s="2">
        <v>25056</v>
      </c>
      <c r="H942" s="2">
        <v>7</v>
      </c>
      <c r="I942" s="2">
        <v>49</v>
      </c>
      <c r="J942" s="2">
        <v>0</v>
      </c>
      <c r="K942" s="2">
        <v>4.4000000000000004</v>
      </c>
      <c r="L942" s="3">
        <f t="shared" si="42"/>
        <v>0.37639706766013703</v>
      </c>
      <c r="M942" s="4">
        <f t="shared" si="43"/>
        <v>424</v>
      </c>
      <c r="N942" s="2">
        <f t="shared" si="44"/>
        <v>22.428571428571427</v>
      </c>
    </row>
    <row r="943" spans="1:14" x14ac:dyDescent="0.25">
      <c r="A943" s="5" t="s">
        <v>348</v>
      </c>
      <c r="B943" s="5" t="s">
        <v>340</v>
      </c>
      <c r="C943" s="5" t="s">
        <v>29</v>
      </c>
      <c r="D943" s="5" t="s">
        <v>19</v>
      </c>
      <c r="E943" s="5">
        <v>106</v>
      </c>
      <c r="F943" s="5">
        <v>23002</v>
      </c>
      <c r="G943" s="5">
        <v>9261</v>
      </c>
      <c r="H943" s="5">
        <v>5</v>
      </c>
      <c r="I943" s="5">
        <v>44</v>
      </c>
      <c r="J943" s="5">
        <v>2</v>
      </c>
      <c r="K943" s="5">
        <v>4.4000000000000004</v>
      </c>
      <c r="L943" s="6">
        <f t="shared" si="42"/>
        <v>0.40261716372489348</v>
      </c>
      <c r="M943" s="7">
        <f t="shared" si="43"/>
        <v>217</v>
      </c>
      <c r="N943" s="5">
        <f t="shared" si="44"/>
        <v>21.2</v>
      </c>
    </row>
    <row r="944" spans="1:14" x14ac:dyDescent="0.25">
      <c r="A944" s="2" t="s">
        <v>349</v>
      </c>
      <c r="B944" s="2" t="s">
        <v>340</v>
      </c>
      <c r="C944" s="2" t="s">
        <v>31</v>
      </c>
      <c r="D944" s="2" t="s">
        <v>17</v>
      </c>
      <c r="E944" s="2">
        <v>41</v>
      </c>
      <c r="F944" s="2">
        <v>10455</v>
      </c>
      <c r="G944" s="2">
        <v>3856</v>
      </c>
      <c r="H944" s="2">
        <v>5</v>
      </c>
      <c r="I944" s="2">
        <v>43</v>
      </c>
      <c r="J944" s="2">
        <v>0</v>
      </c>
      <c r="K944" s="2">
        <v>4.2</v>
      </c>
      <c r="L944" s="3">
        <f t="shared" si="42"/>
        <v>0.36881874701099954</v>
      </c>
      <c r="M944" s="4">
        <f t="shared" si="43"/>
        <v>255</v>
      </c>
      <c r="N944" s="2">
        <f t="shared" si="44"/>
        <v>8.1999999999999993</v>
      </c>
    </row>
    <row r="945" spans="1:14" x14ac:dyDescent="0.25">
      <c r="A945" s="5" t="s">
        <v>349</v>
      </c>
      <c r="B945" s="5" t="s">
        <v>340</v>
      </c>
      <c r="C945" s="5" t="s">
        <v>31</v>
      </c>
      <c r="D945" s="5" t="s">
        <v>18</v>
      </c>
      <c r="E945" s="5">
        <v>118</v>
      </c>
      <c r="F945" s="5">
        <v>54516</v>
      </c>
      <c r="G945" s="5">
        <v>17118</v>
      </c>
      <c r="H945" s="5">
        <v>7</v>
      </c>
      <c r="I945" s="5">
        <v>54</v>
      </c>
      <c r="J945" s="5">
        <v>3</v>
      </c>
      <c r="K945" s="5">
        <v>4.8</v>
      </c>
      <c r="L945" s="6">
        <f t="shared" si="42"/>
        <v>0.31399955976227162</v>
      </c>
      <c r="M945" s="7">
        <f t="shared" si="43"/>
        <v>462</v>
      </c>
      <c r="N945" s="5">
        <f t="shared" si="44"/>
        <v>16.857142857142858</v>
      </c>
    </row>
    <row r="946" spans="1:14" x14ac:dyDescent="0.25">
      <c r="A946" s="2" t="s">
        <v>349</v>
      </c>
      <c r="B946" s="2" t="s">
        <v>340</v>
      </c>
      <c r="C946" s="2" t="s">
        <v>31</v>
      </c>
      <c r="D946" s="2" t="s">
        <v>19</v>
      </c>
      <c r="E946" s="2">
        <v>115</v>
      </c>
      <c r="F946" s="2">
        <v>27600</v>
      </c>
      <c r="G946" s="2">
        <v>8081</v>
      </c>
      <c r="H946" s="2">
        <v>6</v>
      </c>
      <c r="I946" s="2">
        <v>54</v>
      </c>
      <c r="J946" s="2">
        <v>1</v>
      </c>
      <c r="K946" s="2">
        <v>4.2</v>
      </c>
      <c r="L946" s="3">
        <f t="shared" si="42"/>
        <v>0.29278985507246374</v>
      </c>
      <c r="M946" s="4">
        <f t="shared" si="43"/>
        <v>240</v>
      </c>
      <c r="N946" s="2">
        <f t="shared" si="44"/>
        <v>19.166666666666668</v>
      </c>
    </row>
    <row r="947" spans="1:14" x14ac:dyDescent="0.25">
      <c r="A947" s="5" t="s">
        <v>350</v>
      </c>
      <c r="B947" s="5" t="s">
        <v>340</v>
      </c>
      <c r="C947" s="5" t="s">
        <v>16</v>
      </c>
      <c r="D947" s="5" t="s">
        <v>17</v>
      </c>
      <c r="E947" s="5">
        <v>47</v>
      </c>
      <c r="F947" s="5">
        <v>12126</v>
      </c>
      <c r="G947" s="5">
        <v>3636</v>
      </c>
      <c r="H947" s="5">
        <v>4</v>
      </c>
      <c r="I947" s="5">
        <v>36</v>
      </c>
      <c r="J947" s="5">
        <v>1</v>
      </c>
      <c r="K947" s="5">
        <v>4</v>
      </c>
      <c r="L947" s="6">
        <f t="shared" si="42"/>
        <v>0.29985155863433943</v>
      </c>
      <c r="M947" s="7">
        <f t="shared" si="43"/>
        <v>258</v>
      </c>
      <c r="N947" s="5">
        <f t="shared" si="44"/>
        <v>11.75</v>
      </c>
    </row>
    <row r="948" spans="1:14" x14ac:dyDescent="0.25">
      <c r="A948" s="2" t="s">
        <v>350</v>
      </c>
      <c r="B948" s="2" t="s">
        <v>340</v>
      </c>
      <c r="C948" s="2" t="s">
        <v>16</v>
      </c>
      <c r="D948" s="2" t="s">
        <v>18</v>
      </c>
      <c r="E948" s="2">
        <v>79</v>
      </c>
      <c r="F948" s="2">
        <v>29625</v>
      </c>
      <c r="G948" s="2">
        <v>12130</v>
      </c>
      <c r="H948" s="2">
        <v>9</v>
      </c>
      <c r="I948" s="2">
        <v>72</v>
      </c>
      <c r="J948" s="2">
        <v>2</v>
      </c>
      <c r="K948" s="2">
        <v>3.8</v>
      </c>
      <c r="L948" s="3">
        <f t="shared" si="42"/>
        <v>0.40945147679324895</v>
      </c>
      <c r="M948" s="4">
        <f t="shared" si="43"/>
        <v>375</v>
      </c>
      <c r="N948" s="2">
        <f t="shared" si="44"/>
        <v>8.7777777777777786</v>
      </c>
    </row>
    <row r="949" spans="1:14" x14ac:dyDescent="0.25">
      <c r="A949" s="5" t="s">
        <v>350</v>
      </c>
      <c r="B949" s="5" t="s">
        <v>340</v>
      </c>
      <c r="C949" s="5" t="s">
        <v>16</v>
      </c>
      <c r="D949" s="5" t="s">
        <v>19</v>
      </c>
      <c r="E949" s="5">
        <v>29</v>
      </c>
      <c r="F949" s="5">
        <v>8439</v>
      </c>
      <c r="G949" s="5">
        <v>2739</v>
      </c>
      <c r="H949" s="5">
        <v>4</v>
      </c>
      <c r="I949" s="5">
        <v>43</v>
      </c>
      <c r="J949" s="5">
        <v>0</v>
      </c>
      <c r="K949" s="5">
        <v>4.2</v>
      </c>
      <c r="L949" s="6">
        <f t="shared" si="42"/>
        <v>0.32456452186277995</v>
      </c>
      <c r="M949" s="7">
        <f t="shared" si="43"/>
        <v>291</v>
      </c>
      <c r="N949" s="5">
        <f t="shared" si="44"/>
        <v>7.25</v>
      </c>
    </row>
    <row r="950" spans="1:14" x14ac:dyDescent="0.25">
      <c r="A950" s="2" t="s">
        <v>351</v>
      </c>
      <c r="B950" s="2" t="s">
        <v>340</v>
      </c>
      <c r="C950" s="2" t="s">
        <v>21</v>
      </c>
      <c r="D950" s="2" t="s">
        <v>17</v>
      </c>
      <c r="E950" s="2">
        <v>19</v>
      </c>
      <c r="F950" s="2">
        <v>4807</v>
      </c>
      <c r="G950" s="2">
        <v>1673</v>
      </c>
      <c r="H950" s="2">
        <v>4</v>
      </c>
      <c r="I950" s="2">
        <v>52</v>
      </c>
      <c r="J950" s="2">
        <v>0</v>
      </c>
      <c r="K950" s="2">
        <v>4</v>
      </c>
      <c r="L950" s="3">
        <f t="shared" si="42"/>
        <v>0.34803411691283542</v>
      </c>
      <c r="M950" s="4">
        <f t="shared" si="43"/>
        <v>253</v>
      </c>
      <c r="N950" s="2">
        <f t="shared" si="44"/>
        <v>4.75</v>
      </c>
    </row>
    <row r="951" spans="1:14" x14ac:dyDescent="0.25">
      <c r="A951" s="5" t="s">
        <v>351</v>
      </c>
      <c r="B951" s="5" t="s">
        <v>340</v>
      </c>
      <c r="C951" s="5" t="s">
        <v>21</v>
      </c>
      <c r="D951" s="5" t="s">
        <v>18</v>
      </c>
      <c r="E951" s="5">
        <v>61</v>
      </c>
      <c r="F951" s="5">
        <v>22814</v>
      </c>
      <c r="G951" s="5">
        <v>8926</v>
      </c>
      <c r="H951" s="5">
        <v>10</v>
      </c>
      <c r="I951" s="5">
        <v>63</v>
      </c>
      <c r="J951" s="5">
        <v>1</v>
      </c>
      <c r="K951" s="5">
        <v>3.8</v>
      </c>
      <c r="L951" s="6">
        <f t="shared" si="42"/>
        <v>0.39125098623652144</v>
      </c>
      <c r="M951" s="7">
        <f t="shared" si="43"/>
        <v>374</v>
      </c>
      <c r="N951" s="5">
        <f t="shared" si="44"/>
        <v>6.1</v>
      </c>
    </row>
    <row r="952" spans="1:14" x14ac:dyDescent="0.25">
      <c r="A952" s="2" t="s">
        <v>351</v>
      </c>
      <c r="B952" s="2" t="s">
        <v>340</v>
      </c>
      <c r="C952" s="2" t="s">
        <v>21</v>
      </c>
      <c r="D952" s="2" t="s">
        <v>19</v>
      </c>
      <c r="E952" s="2">
        <v>38</v>
      </c>
      <c r="F952" s="2">
        <v>9842</v>
      </c>
      <c r="G952" s="2">
        <v>3993</v>
      </c>
      <c r="H952" s="2">
        <v>7</v>
      </c>
      <c r="I952" s="2">
        <v>47</v>
      </c>
      <c r="J952" s="2">
        <v>0</v>
      </c>
      <c r="K952" s="2">
        <v>3.9</v>
      </c>
      <c r="L952" s="3">
        <f t="shared" si="42"/>
        <v>0.40571022149969521</v>
      </c>
      <c r="M952" s="4">
        <f t="shared" si="43"/>
        <v>259</v>
      </c>
      <c r="N952" s="2">
        <f t="shared" si="44"/>
        <v>5.4285714285714288</v>
      </c>
    </row>
    <row r="953" spans="1:14" x14ac:dyDescent="0.25">
      <c r="A953" s="5" t="s">
        <v>352</v>
      </c>
      <c r="B953" s="5" t="s">
        <v>340</v>
      </c>
      <c r="C953" s="5" t="s">
        <v>23</v>
      </c>
      <c r="D953" s="5" t="s">
        <v>17</v>
      </c>
      <c r="E953" s="5">
        <v>50</v>
      </c>
      <c r="F953" s="5">
        <v>13250</v>
      </c>
      <c r="G953" s="5">
        <v>5152</v>
      </c>
      <c r="H953" s="5">
        <v>3</v>
      </c>
      <c r="I953" s="5">
        <v>40</v>
      </c>
      <c r="J953" s="5">
        <v>0</v>
      </c>
      <c r="K953" s="5">
        <v>4.0999999999999996</v>
      </c>
      <c r="L953" s="6">
        <f t="shared" si="42"/>
        <v>0.38883018867924529</v>
      </c>
      <c r="M953" s="7">
        <f t="shared" si="43"/>
        <v>265</v>
      </c>
      <c r="N953" s="5">
        <f t="shared" si="44"/>
        <v>16.666666666666668</v>
      </c>
    </row>
    <row r="954" spans="1:14" x14ac:dyDescent="0.25">
      <c r="A954" s="2" t="s">
        <v>352</v>
      </c>
      <c r="B954" s="2" t="s">
        <v>340</v>
      </c>
      <c r="C954" s="2" t="s">
        <v>23</v>
      </c>
      <c r="D954" s="2" t="s">
        <v>18</v>
      </c>
      <c r="E954" s="2">
        <v>61</v>
      </c>
      <c r="F954" s="2">
        <v>18849</v>
      </c>
      <c r="G954" s="2">
        <v>5780</v>
      </c>
      <c r="H954" s="2">
        <v>7</v>
      </c>
      <c r="I954" s="2">
        <v>75</v>
      </c>
      <c r="J954" s="2">
        <v>0</v>
      </c>
      <c r="K954" s="2">
        <v>4.7</v>
      </c>
      <c r="L954" s="3">
        <f t="shared" si="42"/>
        <v>0.30664756751021277</v>
      </c>
      <c r="M954" s="4">
        <f t="shared" si="43"/>
        <v>309</v>
      </c>
      <c r="N954" s="2">
        <f t="shared" si="44"/>
        <v>8.7142857142857135</v>
      </c>
    </row>
    <row r="955" spans="1:14" x14ac:dyDescent="0.25">
      <c r="A955" s="5" t="s">
        <v>352</v>
      </c>
      <c r="B955" s="5" t="s">
        <v>340</v>
      </c>
      <c r="C955" s="5" t="s">
        <v>23</v>
      </c>
      <c r="D955" s="5" t="s">
        <v>19</v>
      </c>
      <c r="E955" s="5">
        <v>37</v>
      </c>
      <c r="F955" s="5">
        <v>10397</v>
      </c>
      <c r="G955" s="5">
        <v>3207</v>
      </c>
      <c r="H955" s="5">
        <v>5</v>
      </c>
      <c r="I955" s="5">
        <v>63</v>
      </c>
      <c r="J955" s="5">
        <v>3</v>
      </c>
      <c r="K955" s="5">
        <v>4.4000000000000004</v>
      </c>
      <c r="L955" s="6">
        <f t="shared" si="42"/>
        <v>0.30845436183514474</v>
      </c>
      <c r="M955" s="7">
        <f t="shared" si="43"/>
        <v>281</v>
      </c>
      <c r="N955" s="5">
        <f t="shared" si="44"/>
        <v>7.4</v>
      </c>
    </row>
    <row r="956" spans="1:14" x14ac:dyDescent="0.25">
      <c r="A956" s="2" t="s">
        <v>353</v>
      </c>
      <c r="B956" s="2" t="s">
        <v>340</v>
      </c>
      <c r="C956" s="2" t="s">
        <v>25</v>
      </c>
      <c r="D956" s="2" t="s">
        <v>17</v>
      </c>
      <c r="E956" s="2">
        <v>47</v>
      </c>
      <c r="F956" s="2">
        <v>10105</v>
      </c>
      <c r="G956" s="2">
        <v>3110</v>
      </c>
      <c r="H956" s="2">
        <v>4</v>
      </c>
      <c r="I956" s="2">
        <v>50</v>
      </c>
      <c r="J956" s="2">
        <v>2</v>
      </c>
      <c r="K956" s="2">
        <v>4.4000000000000004</v>
      </c>
      <c r="L956" s="3">
        <f t="shared" si="42"/>
        <v>0.3077684314695695</v>
      </c>
      <c r="M956" s="4">
        <f t="shared" si="43"/>
        <v>215</v>
      </c>
      <c r="N956" s="2">
        <f t="shared" si="44"/>
        <v>11.75</v>
      </c>
    </row>
    <row r="957" spans="1:14" x14ac:dyDescent="0.25">
      <c r="A957" s="5" t="s">
        <v>353</v>
      </c>
      <c r="B957" s="5" t="s">
        <v>340</v>
      </c>
      <c r="C957" s="5" t="s">
        <v>25</v>
      </c>
      <c r="D957" s="5" t="s">
        <v>18</v>
      </c>
      <c r="E957" s="5">
        <v>60</v>
      </c>
      <c r="F957" s="5">
        <v>20400</v>
      </c>
      <c r="G957" s="5">
        <v>7930</v>
      </c>
      <c r="H957" s="5">
        <v>7</v>
      </c>
      <c r="I957" s="5">
        <v>57</v>
      </c>
      <c r="J957" s="5">
        <v>3</v>
      </c>
      <c r="K957" s="5">
        <v>4.7</v>
      </c>
      <c r="L957" s="6">
        <f t="shared" si="42"/>
        <v>0.38872549019607844</v>
      </c>
      <c r="M957" s="7">
        <f t="shared" si="43"/>
        <v>340</v>
      </c>
      <c r="N957" s="5">
        <f t="shared" si="44"/>
        <v>8.5714285714285712</v>
      </c>
    </row>
    <row r="958" spans="1:14" x14ac:dyDescent="0.25">
      <c r="A958" s="2" t="s">
        <v>353</v>
      </c>
      <c r="B958" s="2" t="s">
        <v>340</v>
      </c>
      <c r="C958" s="2" t="s">
        <v>25</v>
      </c>
      <c r="D958" s="2" t="s">
        <v>19</v>
      </c>
      <c r="E958" s="2">
        <v>31</v>
      </c>
      <c r="F958" s="2">
        <v>7657</v>
      </c>
      <c r="G958" s="2">
        <v>2829</v>
      </c>
      <c r="H958" s="2">
        <v>6</v>
      </c>
      <c r="I958" s="2">
        <v>46</v>
      </c>
      <c r="J958" s="2">
        <v>3</v>
      </c>
      <c r="K958" s="2">
        <v>3.9</v>
      </c>
      <c r="L958" s="3">
        <f t="shared" si="42"/>
        <v>0.36946584824343737</v>
      </c>
      <c r="M958" s="4">
        <f t="shared" si="43"/>
        <v>247</v>
      </c>
      <c r="N958" s="2">
        <f t="shared" si="44"/>
        <v>5.166666666666667</v>
      </c>
    </row>
    <row r="959" spans="1:14" x14ac:dyDescent="0.25">
      <c r="A959" s="5" t="s">
        <v>354</v>
      </c>
      <c r="B959" s="5" t="s">
        <v>340</v>
      </c>
      <c r="C959" s="5" t="s">
        <v>27</v>
      </c>
      <c r="D959" s="5" t="s">
        <v>17</v>
      </c>
      <c r="E959" s="5">
        <v>80</v>
      </c>
      <c r="F959" s="5">
        <v>21840</v>
      </c>
      <c r="G959" s="5">
        <v>7403</v>
      </c>
      <c r="H959" s="5">
        <v>4</v>
      </c>
      <c r="I959" s="5">
        <v>37</v>
      </c>
      <c r="J959" s="5">
        <v>0</v>
      </c>
      <c r="K959" s="5">
        <v>4.5</v>
      </c>
      <c r="L959" s="6">
        <f t="shared" si="42"/>
        <v>0.33896520146520148</v>
      </c>
      <c r="M959" s="7">
        <f t="shared" si="43"/>
        <v>273</v>
      </c>
      <c r="N959" s="5">
        <f t="shared" si="44"/>
        <v>20</v>
      </c>
    </row>
    <row r="960" spans="1:14" x14ac:dyDescent="0.25">
      <c r="A960" s="2" t="s">
        <v>354</v>
      </c>
      <c r="B960" s="2" t="s">
        <v>340</v>
      </c>
      <c r="C960" s="2" t="s">
        <v>27</v>
      </c>
      <c r="D960" s="2" t="s">
        <v>18</v>
      </c>
      <c r="E960" s="2">
        <v>143</v>
      </c>
      <c r="F960" s="2">
        <v>62777</v>
      </c>
      <c r="G960" s="2">
        <v>19028</v>
      </c>
      <c r="H960" s="2">
        <v>10</v>
      </c>
      <c r="I960" s="2">
        <v>71</v>
      </c>
      <c r="J960" s="2">
        <v>0</v>
      </c>
      <c r="K960" s="2">
        <v>4.3</v>
      </c>
      <c r="L960" s="3">
        <f t="shared" si="42"/>
        <v>0.3031046402344808</v>
      </c>
      <c r="M960" s="4">
        <f t="shared" si="43"/>
        <v>439</v>
      </c>
      <c r="N960" s="2">
        <f t="shared" si="44"/>
        <v>14.3</v>
      </c>
    </row>
    <row r="961" spans="1:14" x14ac:dyDescent="0.25">
      <c r="A961" s="5" t="s">
        <v>354</v>
      </c>
      <c r="B961" s="5" t="s">
        <v>340</v>
      </c>
      <c r="C961" s="5" t="s">
        <v>27</v>
      </c>
      <c r="D961" s="5" t="s">
        <v>19</v>
      </c>
      <c r="E961" s="5">
        <v>48</v>
      </c>
      <c r="F961" s="5">
        <v>13632</v>
      </c>
      <c r="G961" s="5">
        <v>5109</v>
      </c>
      <c r="H961" s="5">
        <v>4</v>
      </c>
      <c r="I961" s="5">
        <v>47</v>
      </c>
      <c r="J961" s="5">
        <v>1</v>
      </c>
      <c r="K961" s="5">
        <v>4.4000000000000004</v>
      </c>
      <c r="L961" s="6">
        <f t="shared" si="42"/>
        <v>0.37477992957746481</v>
      </c>
      <c r="M961" s="7">
        <f t="shared" si="43"/>
        <v>284</v>
      </c>
      <c r="N961" s="5">
        <f t="shared" si="44"/>
        <v>12</v>
      </c>
    </row>
    <row r="962" spans="1:14" x14ac:dyDescent="0.25">
      <c r="A962" s="2" t="s">
        <v>355</v>
      </c>
      <c r="B962" s="2" t="s">
        <v>340</v>
      </c>
      <c r="C962" s="2" t="s">
        <v>29</v>
      </c>
      <c r="D962" s="2" t="s">
        <v>17</v>
      </c>
      <c r="E962" s="2">
        <v>53</v>
      </c>
      <c r="F962" s="2">
        <v>11130</v>
      </c>
      <c r="G962" s="2">
        <v>3431</v>
      </c>
      <c r="H962" s="2">
        <v>4</v>
      </c>
      <c r="I962" s="2">
        <v>41</v>
      </c>
      <c r="J962" s="2">
        <v>0</v>
      </c>
      <c r="K962" s="2">
        <v>4.3</v>
      </c>
      <c r="L962" s="3">
        <f t="shared" ref="L962:L1025" si="45">G962/F962</f>
        <v>0.30826594788858941</v>
      </c>
      <c r="M962" s="4">
        <f t="shared" ref="M962:M1025" si="46">F962/E962</f>
        <v>210</v>
      </c>
      <c r="N962" s="2">
        <f t="shared" ref="N962:N1025" si="47">E962/H962</f>
        <v>13.25</v>
      </c>
    </row>
    <row r="963" spans="1:14" x14ac:dyDescent="0.25">
      <c r="A963" s="5" t="s">
        <v>355</v>
      </c>
      <c r="B963" s="5" t="s">
        <v>340</v>
      </c>
      <c r="C963" s="5" t="s">
        <v>29</v>
      </c>
      <c r="D963" s="5" t="s">
        <v>18</v>
      </c>
      <c r="E963" s="5">
        <v>209</v>
      </c>
      <c r="F963" s="5">
        <v>80465</v>
      </c>
      <c r="G963" s="5">
        <v>26853</v>
      </c>
      <c r="H963" s="5">
        <v>7</v>
      </c>
      <c r="I963" s="5">
        <v>59</v>
      </c>
      <c r="J963" s="5">
        <v>0</v>
      </c>
      <c r="K963" s="5">
        <v>3.7</v>
      </c>
      <c r="L963" s="6">
        <f t="shared" si="45"/>
        <v>0.33372273659355001</v>
      </c>
      <c r="M963" s="7">
        <f t="shared" si="46"/>
        <v>385</v>
      </c>
      <c r="N963" s="5">
        <f t="shared" si="47"/>
        <v>29.857142857142858</v>
      </c>
    </row>
    <row r="964" spans="1:14" x14ac:dyDescent="0.25">
      <c r="A964" s="2" t="s">
        <v>355</v>
      </c>
      <c r="B964" s="2" t="s">
        <v>340</v>
      </c>
      <c r="C964" s="2" t="s">
        <v>29</v>
      </c>
      <c r="D964" s="2" t="s">
        <v>19</v>
      </c>
      <c r="E964" s="2">
        <v>119</v>
      </c>
      <c r="F964" s="2">
        <v>39151</v>
      </c>
      <c r="G964" s="2">
        <v>11016</v>
      </c>
      <c r="H964" s="2">
        <v>6</v>
      </c>
      <c r="I964" s="2">
        <v>52</v>
      </c>
      <c r="J964" s="2">
        <v>2</v>
      </c>
      <c r="K964" s="2">
        <v>3.7</v>
      </c>
      <c r="L964" s="3">
        <f t="shared" si="45"/>
        <v>0.28137212331741207</v>
      </c>
      <c r="M964" s="4">
        <f t="shared" si="46"/>
        <v>329</v>
      </c>
      <c r="N964" s="2">
        <f t="shared" si="47"/>
        <v>19.833333333333332</v>
      </c>
    </row>
    <row r="965" spans="1:14" x14ac:dyDescent="0.25">
      <c r="A965" s="5" t="s">
        <v>356</v>
      </c>
      <c r="B965" s="5" t="s">
        <v>340</v>
      </c>
      <c r="C965" s="5" t="s">
        <v>31</v>
      </c>
      <c r="D965" s="5" t="s">
        <v>17</v>
      </c>
      <c r="E965" s="5">
        <v>49</v>
      </c>
      <c r="F965" s="5">
        <v>10486</v>
      </c>
      <c r="G965" s="5">
        <v>2988</v>
      </c>
      <c r="H965" s="5">
        <v>3</v>
      </c>
      <c r="I965" s="5">
        <v>54</v>
      </c>
      <c r="J965" s="5">
        <v>2</v>
      </c>
      <c r="K965" s="5">
        <v>4.3</v>
      </c>
      <c r="L965" s="6">
        <f t="shared" si="45"/>
        <v>0.28495136372305929</v>
      </c>
      <c r="M965" s="7">
        <f t="shared" si="46"/>
        <v>214</v>
      </c>
      <c r="N965" s="5">
        <f t="shared" si="47"/>
        <v>16.333333333333332</v>
      </c>
    </row>
    <row r="966" spans="1:14" x14ac:dyDescent="0.25">
      <c r="A966" s="2" t="s">
        <v>356</v>
      </c>
      <c r="B966" s="2" t="s">
        <v>340</v>
      </c>
      <c r="C966" s="2" t="s">
        <v>31</v>
      </c>
      <c r="D966" s="2" t="s">
        <v>18</v>
      </c>
      <c r="E966" s="2">
        <v>113</v>
      </c>
      <c r="F966" s="2">
        <v>53788</v>
      </c>
      <c r="G966" s="2">
        <v>15378</v>
      </c>
      <c r="H966" s="2">
        <v>9</v>
      </c>
      <c r="I966" s="2">
        <v>62</v>
      </c>
      <c r="J966" s="2">
        <v>3</v>
      </c>
      <c r="K966" s="2">
        <v>4.0999999999999996</v>
      </c>
      <c r="L966" s="3">
        <f t="shared" si="45"/>
        <v>0.28590020078827993</v>
      </c>
      <c r="M966" s="4">
        <f t="shared" si="46"/>
        <v>476</v>
      </c>
      <c r="N966" s="2">
        <f t="shared" si="47"/>
        <v>12.555555555555555</v>
      </c>
    </row>
    <row r="967" spans="1:14" x14ac:dyDescent="0.25">
      <c r="A967" s="5" t="s">
        <v>356</v>
      </c>
      <c r="B967" s="5" t="s">
        <v>340</v>
      </c>
      <c r="C967" s="5" t="s">
        <v>31</v>
      </c>
      <c r="D967" s="5" t="s">
        <v>19</v>
      </c>
      <c r="E967" s="5">
        <v>94</v>
      </c>
      <c r="F967" s="5">
        <v>19082</v>
      </c>
      <c r="G967" s="5">
        <v>7751</v>
      </c>
      <c r="H967" s="5">
        <v>4</v>
      </c>
      <c r="I967" s="5">
        <v>45</v>
      </c>
      <c r="J967" s="5">
        <v>3</v>
      </c>
      <c r="K967" s="5">
        <v>3.8</v>
      </c>
      <c r="L967" s="6">
        <f t="shared" si="45"/>
        <v>0.40619431925374699</v>
      </c>
      <c r="M967" s="7">
        <f t="shared" si="46"/>
        <v>203</v>
      </c>
      <c r="N967" s="5">
        <f t="shared" si="47"/>
        <v>23.5</v>
      </c>
    </row>
    <row r="968" spans="1:14" x14ac:dyDescent="0.25">
      <c r="A968" s="2" t="s">
        <v>357</v>
      </c>
      <c r="B968" s="2" t="s">
        <v>340</v>
      </c>
      <c r="C968" s="2" t="s">
        <v>16</v>
      </c>
      <c r="D968" s="2" t="s">
        <v>17</v>
      </c>
      <c r="E968" s="2">
        <v>40</v>
      </c>
      <c r="F968" s="2">
        <v>7360</v>
      </c>
      <c r="G968" s="2">
        <v>2456</v>
      </c>
      <c r="H968" s="2">
        <v>3</v>
      </c>
      <c r="I968" s="2">
        <v>47</v>
      </c>
      <c r="J968" s="2">
        <v>1</v>
      </c>
      <c r="K968" s="2">
        <v>3.9</v>
      </c>
      <c r="L968" s="3">
        <f t="shared" si="45"/>
        <v>0.33369565217391306</v>
      </c>
      <c r="M968" s="4">
        <f t="shared" si="46"/>
        <v>184</v>
      </c>
      <c r="N968" s="2">
        <f t="shared" si="47"/>
        <v>13.333333333333334</v>
      </c>
    </row>
    <row r="969" spans="1:14" x14ac:dyDescent="0.25">
      <c r="A969" s="5" t="s">
        <v>357</v>
      </c>
      <c r="B969" s="5" t="s">
        <v>340</v>
      </c>
      <c r="C969" s="5" t="s">
        <v>16</v>
      </c>
      <c r="D969" s="5" t="s">
        <v>18</v>
      </c>
      <c r="E969" s="5">
        <v>111</v>
      </c>
      <c r="F969" s="5">
        <v>45621</v>
      </c>
      <c r="G969" s="5">
        <v>14911</v>
      </c>
      <c r="H969" s="5">
        <v>10</v>
      </c>
      <c r="I969" s="5">
        <v>57</v>
      </c>
      <c r="J969" s="5">
        <v>3</v>
      </c>
      <c r="K969" s="5">
        <v>3.5</v>
      </c>
      <c r="L969" s="6">
        <f t="shared" si="45"/>
        <v>0.32684509326845096</v>
      </c>
      <c r="M969" s="7">
        <f t="shared" si="46"/>
        <v>411</v>
      </c>
      <c r="N969" s="5">
        <f t="shared" si="47"/>
        <v>11.1</v>
      </c>
    </row>
    <row r="970" spans="1:14" x14ac:dyDescent="0.25">
      <c r="A970" s="2" t="s">
        <v>357</v>
      </c>
      <c r="B970" s="2" t="s">
        <v>340</v>
      </c>
      <c r="C970" s="2" t="s">
        <v>16</v>
      </c>
      <c r="D970" s="2" t="s">
        <v>19</v>
      </c>
      <c r="E970" s="2">
        <v>56</v>
      </c>
      <c r="F970" s="2">
        <v>18648</v>
      </c>
      <c r="G970" s="2">
        <v>6793</v>
      </c>
      <c r="H970" s="2">
        <v>6</v>
      </c>
      <c r="I970" s="2">
        <v>61</v>
      </c>
      <c r="J970" s="2">
        <v>3</v>
      </c>
      <c r="K970" s="2">
        <v>4.3</v>
      </c>
      <c r="L970" s="3">
        <f t="shared" si="45"/>
        <v>0.3642749892749893</v>
      </c>
      <c r="M970" s="4">
        <f t="shared" si="46"/>
        <v>333</v>
      </c>
      <c r="N970" s="2">
        <f t="shared" si="47"/>
        <v>9.3333333333333339</v>
      </c>
    </row>
    <row r="971" spans="1:14" x14ac:dyDescent="0.25">
      <c r="A971" s="5" t="s">
        <v>358</v>
      </c>
      <c r="B971" s="5" t="s">
        <v>340</v>
      </c>
      <c r="C971" s="5" t="s">
        <v>21</v>
      </c>
      <c r="D971" s="5" t="s">
        <v>17</v>
      </c>
      <c r="E971" s="5">
        <v>23</v>
      </c>
      <c r="F971" s="5">
        <v>5060</v>
      </c>
      <c r="G971" s="5">
        <v>1895</v>
      </c>
      <c r="H971" s="5">
        <v>4</v>
      </c>
      <c r="I971" s="5">
        <v>50</v>
      </c>
      <c r="J971" s="5">
        <v>2</v>
      </c>
      <c r="K971" s="5">
        <v>4.3</v>
      </c>
      <c r="L971" s="6">
        <f t="shared" si="45"/>
        <v>0.37450592885375494</v>
      </c>
      <c r="M971" s="7">
        <f t="shared" si="46"/>
        <v>220</v>
      </c>
      <c r="N971" s="5">
        <f t="shared" si="47"/>
        <v>5.75</v>
      </c>
    </row>
    <row r="972" spans="1:14" x14ac:dyDescent="0.25">
      <c r="A972" s="2" t="s">
        <v>358</v>
      </c>
      <c r="B972" s="2" t="s">
        <v>340</v>
      </c>
      <c r="C972" s="2" t="s">
        <v>21</v>
      </c>
      <c r="D972" s="2" t="s">
        <v>18</v>
      </c>
      <c r="E972" s="2">
        <v>70</v>
      </c>
      <c r="F972" s="2">
        <v>22330</v>
      </c>
      <c r="G972" s="2">
        <v>6976</v>
      </c>
      <c r="H972" s="2">
        <v>7</v>
      </c>
      <c r="I972" s="2">
        <v>54</v>
      </c>
      <c r="J972" s="2">
        <v>3</v>
      </c>
      <c r="K972" s="2">
        <v>4.4000000000000004</v>
      </c>
      <c r="L972" s="3">
        <f t="shared" si="45"/>
        <v>0.31240483654276757</v>
      </c>
      <c r="M972" s="4">
        <f t="shared" si="46"/>
        <v>319</v>
      </c>
      <c r="N972" s="2">
        <f t="shared" si="47"/>
        <v>10</v>
      </c>
    </row>
    <row r="973" spans="1:14" x14ac:dyDescent="0.25">
      <c r="A973" s="5" t="s">
        <v>358</v>
      </c>
      <c r="B973" s="5" t="s">
        <v>340</v>
      </c>
      <c r="C973" s="5" t="s">
        <v>21</v>
      </c>
      <c r="D973" s="5" t="s">
        <v>19</v>
      </c>
      <c r="E973" s="5">
        <v>56</v>
      </c>
      <c r="F973" s="5">
        <v>18088</v>
      </c>
      <c r="G973" s="5">
        <v>6849</v>
      </c>
      <c r="H973" s="5">
        <v>5</v>
      </c>
      <c r="I973" s="5">
        <v>41</v>
      </c>
      <c r="J973" s="5">
        <v>0</v>
      </c>
      <c r="K973" s="5">
        <v>3.9</v>
      </c>
      <c r="L973" s="6">
        <f t="shared" si="45"/>
        <v>0.37864882795223354</v>
      </c>
      <c r="M973" s="7">
        <f t="shared" si="46"/>
        <v>323</v>
      </c>
      <c r="N973" s="5">
        <f t="shared" si="47"/>
        <v>11.2</v>
      </c>
    </row>
    <row r="974" spans="1:14" x14ac:dyDescent="0.25">
      <c r="A974" s="2" t="s">
        <v>359</v>
      </c>
      <c r="B974" s="2" t="s">
        <v>340</v>
      </c>
      <c r="C974" s="2" t="s">
        <v>23</v>
      </c>
      <c r="D974" s="2" t="s">
        <v>17</v>
      </c>
      <c r="E974" s="2">
        <v>50</v>
      </c>
      <c r="F974" s="2">
        <v>12700</v>
      </c>
      <c r="G974" s="2">
        <v>4014</v>
      </c>
      <c r="H974" s="2">
        <v>5</v>
      </c>
      <c r="I974" s="2">
        <v>37</v>
      </c>
      <c r="J974" s="2">
        <v>0</v>
      </c>
      <c r="K974" s="2">
        <v>3.9</v>
      </c>
      <c r="L974" s="3">
        <f t="shared" si="45"/>
        <v>0.31606299212598427</v>
      </c>
      <c r="M974" s="4">
        <f t="shared" si="46"/>
        <v>254</v>
      </c>
      <c r="N974" s="2">
        <f t="shared" si="47"/>
        <v>10</v>
      </c>
    </row>
    <row r="975" spans="1:14" x14ac:dyDescent="0.25">
      <c r="A975" s="5" t="s">
        <v>359</v>
      </c>
      <c r="B975" s="5" t="s">
        <v>340</v>
      </c>
      <c r="C975" s="5" t="s">
        <v>23</v>
      </c>
      <c r="D975" s="5" t="s">
        <v>18</v>
      </c>
      <c r="E975" s="5">
        <v>97</v>
      </c>
      <c r="F975" s="5">
        <v>41613</v>
      </c>
      <c r="G975" s="5">
        <v>12861</v>
      </c>
      <c r="H975" s="5">
        <v>6</v>
      </c>
      <c r="I975" s="5">
        <v>49</v>
      </c>
      <c r="J975" s="5">
        <v>0</v>
      </c>
      <c r="K975" s="5">
        <v>3.7</v>
      </c>
      <c r="L975" s="6">
        <f t="shared" si="45"/>
        <v>0.30906207194866991</v>
      </c>
      <c r="M975" s="7">
        <f t="shared" si="46"/>
        <v>429</v>
      </c>
      <c r="N975" s="5">
        <f t="shared" si="47"/>
        <v>16.166666666666668</v>
      </c>
    </row>
    <row r="976" spans="1:14" x14ac:dyDescent="0.25">
      <c r="A976" s="2" t="s">
        <v>359</v>
      </c>
      <c r="B976" s="2" t="s">
        <v>340</v>
      </c>
      <c r="C976" s="2" t="s">
        <v>23</v>
      </c>
      <c r="D976" s="2" t="s">
        <v>19</v>
      </c>
      <c r="E976" s="2">
        <v>32</v>
      </c>
      <c r="F976" s="2">
        <v>9536</v>
      </c>
      <c r="G976" s="2">
        <v>3669</v>
      </c>
      <c r="H976" s="2">
        <v>5</v>
      </c>
      <c r="I976" s="2">
        <v>65</v>
      </c>
      <c r="J976" s="2">
        <v>3</v>
      </c>
      <c r="K976" s="2">
        <v>4.0999999999999996</v>
      </c>
      <c r="L976" s="3">
        <f t="shared" si="45"/>
        <v>0.38475251677852351</v>
      </c>
      <c r="M976" s="4">
        <f t="shared" si="46"/>
        <v>298</v>
      </c>
      <c r="N976" s="2">
        <f t="shared" si="47"/>
        <v>6.4</v>
      </c>
    </row>
    <row r="977" spans="1:14" x14ac:dyDescent="0.25">
      <c r="A977" s="5" t="s">
        <v>360</v>
      </c>
      <c r="B977" s="5" t="s">
        <v>340</v>
      </c>
      <c r="C977" s="5" t="s">
        <v>25</v>
      </c>
      <c r="D977" s="5" t="s">
        <v>17</v>
      </c>
      <c r="E977" s="5">
        <v>24</v>
      </c>
      <c r="F977" s="5">
        <v>4968</v>
      </c>
      <c r="G977" s="5">
        <v>2045</v>
      </c>
      <c r="H977" s="5">
        <v>5</v>
      </c>
      <c r="I977" s="5">
        <v>44</v>
      </c>
      <c r="J977" s="5">
        <v>0</v>
      </c>
      <c r="K977" s="5">
        <v>4</v>
      </c>
      <c r="L977" s="6">
        <f t="shared" si="45"/>
        <v>0.41163446054750402</v>
      </c>
      <c r="M977" s="7">
        <f t="shared" si="46"/>
        <v>207</v>
      </c>
      <c r="N977" s="5">
        <f t="shared" si="47"/>
        <v>4.8</v>
      </c>
    </row>
    <row r="978" spans="1:14" x14ac:dyDescent="0.25">
      <c r="A978" s="2" t="s">
        <v>360</v>
      </c>
      <c r="B978" s="2" t="s">
        <v>340</v>
      </c>
      <c r="C978" s="2" t="s">
        <v>25</v>
      </c>
      <c r="D978" s="2" t="s">
        <v>18</v>
      </c>
      <c r="E978" s="2">
        <v>112</v>
      </c>
      <c r="F978" s="2">
        <v>46816</v>
      </c>
      <c r="G978" s="2">
        <v>13597</v>
      </c>
      <c r="H978" s="2">
        <v>9</v>
      </c>
      <c r="I978" s="2">
        <v>59</v>
      </c>
      <c r="J978" s="2">
        <v>3</v>
      </c>
      <c r="K978" s="2">
        <v>3.7</v>
      </c>
      <c r="L978" s="3">
        <f t="shared" si="45"/>
        <v>0.29043489405331513</v>
      </c>
      <c r="M978" s="4">
        <f t="shared" si="46"/>
        <v>418</v>
      </c>
      <c r="N978" s="2">
        <f t="shared" si="47"/>
        <v>12.444444444444445</v>
      </c>
    </row>
    <row r="979" spans="1:14" x14ac:dyDescent="0.25">
      <c r="A979" s="5" t="s">
        <v>360</v>
      </c>
      <c r="B979" s="5" t="s">
        <v>340</v>
      </c>
      <c r="C979" s="5" t="s">
        <v>25</v>
      </c>
      <c r="D979" s="5" t="s">
        <v>19</v>
      </c>
      <c r="E979" s="5">
        <v>64</v>
      </c>
      <c r="F979" s="5">
        <v>13568</v>
      </c>
      <c r="G979" s="5">
        <v>5047</v>
      </c>
      <c r="H979" s="5">
        <v>6</v>
      </c>
      <c r="I979" s="5">
        <v>42</v>
      </c>
      <c r="J979" s="5">
        <v>3</v>
      </c>
      <c r="K979" s="5">
        <v>4.2</v>
      </c>
      <c r="L979" s="6">
        <f t="shared" si="45"/>
        <v>0.37197818396226418</v>
      </c>
      <c r="M979" s="7">
        <f t="shared" si="46"/>
        <v>212</v>
      </c>
      <c r="N979" s="5">
        <f t="shared" si="47"/>
        <v>10.666666666666666</v>
      </c>
    </row>
    <row r="980" spans="1:14" x14ac:dyDescent="0.25">
      <c r="A980" s="2" t="s">
        <v>361</v>
      </c>
      <c r="B980" s="2" t="s">
        <v>340</v>
      </c>
      <c r="C980" s="2" t="s">
        <v>27</v>
      </c>
      <c r="D980" s="2" t="s">
        <v>17</v>
      </c>
      <c r="E980" s="2">
        <v>74</v>
      </c>
      <c r="F980" s="2">
        <v>19684</v>
      </c>
      <c r="G980" s="2">
        <v>8087</v>
      </c>
      <c r="H980" s="2">
        <v>4</v>
      </c>
      <c r="I980" s="2">
        <v>43</v>
      </c>
      <c r="J980" s="2">
        <v>2</v>
      </c>
      <c r="K980" s="2">
        <v>4.0999999999999996</v>
      </c>
      <c r="L980" s="3">
        <f t="shared" si="45"/>
        <v>0.41084129242023981</v>
      </c>
      <c r="M980" s="4">
        <f t="shared" si="46"/>
        <v>266</v>
      </c>
      <c r="N980" s="2">
        <f t="shared" si="47"/>
        <v>18.5</v>
      </c>
    </row>
    <row r="981" spans="1:14" x14ac:dyDescent="0.25">
      <c r="A981" s="5" t="s">
        <v>361</v>
      </c>
      <c r="B981" s="5" t="s">
        <v>340</v>
      </c>
      <c r="C981" s="5" t="s">
        <v>27</v>
      </c>
      <c r="D981" s="5" t="s">
        <v>18</v>
      </c>
      <c r="E981" s="5">
        <v>84</v>
      </c>
      <c r="F981" s="5">
        <v>28812</v>
      </c>
      <c r="G981" s="5">
        <v>9337</v>
      </c>
      <c r="H981" s="5">
        <v>9</v>
      </c>
      <c r="I981" s="5">
        <v>69</v>
      </c>
      <c r="J981" s="5">
        <v>3</v>
      </c>
      <c r="K981" s="5">
        <v>4.3</v>
      </c>
      <c r="L981" s="6">
        <f t="shared" si="45"/>
        <v>0.3240663612383729</v>
      </c>
      <c r="M981" s="7">
        <f t="shared" si="46"/>
        <v>343</v>
      </c>
      <c r="N981" s="5">
        <f t="shared" si="47"/>
        <v>9.3333333333333339</v>
      </c>
    </row>
    <row r="982" spans="1:14" x14ac:dyDescent="0.25">
      <c r="A982" s="2" t="s">
        <v>361</v>
      </c>
      <c r="B982" s="2" t="s">
        <v>340</v>
      </c>
      <c r="C982" s="2" t="s">
        <v>27</v>
      </c>
      <c r="D982" s="2" t="s">
        <v>19</v>
      </c>
      <c r="E982" s="2">
        <v>92</v>
      </c>
      <c r="F982" s="2">
        <v>22816</v>
      </c>
      <c r="G982" s="2">
        <v>7191</v>
      </c>
      <c r="H982" s="2">
        <v>6</v>
      </c>
      <c r="I982" s="2">
        <v>47</v>
      </c>
      <c r="J982" s="2">
        <v>3</v>
      </c>
      <c r="K982" s="2">
        <v>4</v>
      </c>
      <c r="L982" s="3">
        <f t="shared" si="45"/>
        <v>0.31517356241234223</v>
      </c>
      <c r="M982" s="4">
        <f t="shared" si="46"/>
        <v>248</v>
      </c>
      <c r="N982" s="2">
        <f t="shared" si="47"/>
        <v>15.333333333333334</v>
      </c>
    </row>
    <row r="983" spans="1:14" x14ac:dyDescent="0.25">
      <c r="A983" s="5" t="s">
        <v>362</v>
      </c>
      <c r="B983" s="5" t="s">
        <v>340</v>
      </c>
      <c r="C983" s="5" t="s">
        <v>29</v>
      </c>
      <c r="D983" s="5" t="s">
        <v>17</v>
      </c>
      <c r="E983" s="5">
        <v>59</v>
      </c>
      <c r="F983" s="5">
        <v>13747</v>
      </c>
      <c r="G983" s="5">
        <v>4631</v>
      </c>
      <c r="H983" s="5">
        <v>5</v>
      </c>
      <c r="I983" s="5">
        <v>55</v>
      </c>
      <c r="J983" s="5">
        <v>1</v>
      </c>
      <c r="K983" s="5">
        <v>4.2</v>
      </c>
      <c r="L983" s="6">
        <f t="shared" si="45"/>
        <v>0.33687349967265584</v>
      </c>
      <c r="M983" s="7">
        <f t="shared" si="46"/>
        <v>233</v>
      </c>
      <c r="N983" s="5">
        <f t="shared" si="47"/>
        <v>11.8</v>
      </c>
    </row>
    <row r="984" spans="1:14" x14ac:dyDescent="0.25">
      <c r="A984" s="2" t="s">
        <v>362</v>
      </c>
      <c r="B984" s="2" t="s">
        <v>340</v>
      </c>
      <c r="C984" s="2" t="s">
        <v>29</v>
      </c>
      <c r="D984" s="2" t="s">
        <v>18</v>
      </c>
      <c r="E984" s="2">
        <v>159</v>
      </c>
      <c r="F984" s="2">
        <v>45474</v>
      </c>
      <c r="G984" s="2">
        <v>17405</v>
      </c>
      <c r="H984" s="2">
        <v>10</v>
      </c>
      <c r="I984" s="2">
        <v>72</v>
      </c>
      <c r="J984" s="2">
        <v>3</v>
      </c>
      <c r="K984" s="2">
        <v>3.6</v>
      </c>
      <c r="L984" s="3">
        <f t="shared" si="45"/>
        <v>0.3827461846329771</v>
      </c>
      <c r="M984" s="4">
        <f t="shared" si="46"/>
        <v>286</v>
      </c>
      <c r="N984" s="2">
        <f t="shared" si="47"/>
        <v>15.9</v>
      </c>
    </row>
    <row r="985" spans="1:14" x14ac:dyDescent="0.25">
      <c r="A985" s="5" t="s">
        <v>362</v>
      </c>
      <c r="B985" s="5" t="s">
        <v>340</v>
      </c>
      <c r="C985" s="5" t="s">
        <v>29</v>
      </c>
      <c r="D985" s="5" t="s">
        <v>19</v>
      </c>
      <c r="E985" s="5">
        <v>72</v>
      </c>
      <c r="F985" s="5">
        <v>15696</v>
      </c>
      <c r="G985" s="5">
        <v>6499</v>
      </c>
      <c r="H985" s="5">
        <v>5</v>
      </c>
      <c r="I985" s="5">
        <v>49</v>
      </c>
      <c r="J985" s="5">
        <v>1</v>
      </c>
      <c r="K985" s="5">
        <v>4</v>
      </c>
      <c r="L985" s="6">
        <f t="shared" si="45"/>
        <v>0.41405453618756372</v>
      </c>
      <c r="M985" s="7">
        <f t="shared" si="46"/>
        <v>218</v>
      </c>
      <c r="N985" s="5">
        <f t="shared" si="47"/>
        <v>14.4</v>
      </c>
    </row>
    <row r="986" spans="1:14" x14ac:dyDescent="0.25">
      <c r="A986" s="2" t="s">
        <v>363</v>
      </c>
      <c r="B986" s="2" t="s">
        <v>340</v>
      </c>
      <c r="C986" s="2" t="s">
        <v>31</v>
      </c>
      <c r="D986" s="2" t="s">
        <v>17</v>
      </c>
      <c r="E986" s="2">
        <v>53</v>
      </c>
      <c r="F986" s="2">
        <v>12561</v>
      </c>
      <c r="G986" s="2">
        <v>4268</v>
      </c>
      <c r="H986" s="2">
        <v>3</v>
      </c>
      <c r="I986" s="2">
        <v>36</v>
      </c>
      <c r="J986" s="2">
        <v>2</v>
      </c>
      <c r="K986" s="2">
        <v>4.4000000000000004</v>
      </c>
      <c r="L986" s="3">
        <f t="shared" si="45"/>
        <v>0.33978186450123399</v>
      </c>
      <c r="M986" s="4">
        <f t="shared" si="46"/>
        <v>237</v>
      </c>
      <c r="N986" s="2">
        <f t="shared" si="47"/>
        <v>17.666666666666668</v>
      </c>
    </row>
    <row r="987" spans="1:14" x14ac:dyDescent="0.25">
      <c r="A987" s="5" t="s">
        <v>363</v>
      </c>
      <c r="B987" s="5" t="s">
        <v>340</v>
      </c>
      <c r="C987" s="5" t="s">
        <v>31</v>
      </c>
      <c r="D987" s="5" t="s">
        <v>18</v>
      </c>
      <c r="E987" s="5">
        <v>115</v>
      </c>
      <c r="F987" s="5">
        <v>34960</v>
      </c>
      <c r="G987" s="5">
        <v>10142</v>
      </c>
      <c r="H987" s="5">
        <v>10</v>
      </c>
      <c r="I987" s="5">
        <v>50</v>
      </c>
      <c r="J987" s="5">
        <v>1</v>
      </c>
      <c r="K987" s="5">
        <v>3.6</v>
      </c>
      <c r="L987" s="6">
        <f t="shared" si="45"/>
        <v>0.29010297482837527</v>
      </c>
      <c r="M987" s="7">
        <f t="shared" si="46"/>
        <v>304</v>
      </c>
      <c r="N987" s="5">
        <f t="shared" si="47"/>
        <v>11.5</v>
      </c>
    </row>
    <row r="988" spans="1:14" x14ac:dyDescent="0.25">
      <c r="A988" s="2" t="s">
        <v>363</v>
      </c>
      <c r="B988" s="2" t="s">
        <v>340</v>
      </c>
      <c r="C988" s="2" t="s">
        <v>31</v>
      </c>
      <c r="D988" s="2" t="s">
        <v>19</v>
      </c>
      <c r="E988" s="2">
        <v>79</v>
      </c>
      <c r="F988" s="2">
        <v>23147</v>
      </c>
      <c r="G988" s="2">
        <v>9655</v>
      </c>
      <c r="H988" s="2">
        <v>7</v>
      </c>
      <c r="I988" s="2">
        <v>65</v>
      </c>
      <c r="J988" s="2">
        <v>1</v>
      </c>
      <c r="K988" s="2">
        <v>4</v>
      </c>
      <c r="L988" s="3">
        <f t="shared" si="45"/>
        <v>0.41711668898777382</v>
      </c>
      <c r="M988" s="4">
        <f t="shared" si="46"/>
        <v>293</v>
      </c>
      <c r="N988" s="2">
        <f t="shared" si="47"/>
        <v>11.285714285714286</v>
      </c>
    </row>
    <row r="989" spans="1:14" x14ac:dyDescent="0.25">
      <c r="A989" s="5" t="s">
        <v>364</v>
      </c>
      <c r="B989" s="5" t="s">
        <v>340</v>
      </c>
      <c r="C989" s="5" t="s">
        <v>16</v>
      </c>
      <c r="D989" s="5" t="s">
        <v>17</v>
      </c>
      <c r="E989" s="5">
        <v>30</v>
      </c>
      <c r="F989" s="5">
        <v>5400</v>
      </c>
      <c r="G989" s="5">
        <v>2100</v>
      </c>
      <c r="H989" s="5">
        <v>5</v>
      </c>
      <c r="I989" s="5">
        <v>54</v>
      </c>
      <c r="J989" s="5">
        <v>1</v>
      </c>
      <c r="K989" s="5">
        <v>4.0999999999999996</v>
      </c>
      <c r="L989" s="6">
        <f t="shared" si="45"/>
        <v>0.3888888888888889</v>
      </c>
      <c r="M989" s="7">
        <f t="shared" si="46"/>
        <v>180</v>
      </c>
      <c r="N989" s="5">
        <f t="shared" si="47"/>
        <v>6</v>
      </c>
    </row>
    <row r="990" spans="1:14" x14ac:dyDescent="0.25">
      <c r="A990" s="2" t="s">
        <v>364</v>
      </c>
      <c r="B990" s="2" t="s">
        <v>340</v>
      </c>
      <c r="C990" s="2" t="s">
        <v>16</v>
      </c>
      <c r="D990" s="2" t="s">
        <v>18</v>
      </c>
      <c r="E990" s="2">
        <v>51</v>
      </c>
      <c r="F990" s="2">
        <v>22593</v>
      </c>
      <c r="G990" s="2">
        <v>8711</v>
      </c>
      <c r="H990" s="2">
        <v>9</v>
      </c>
      <c r="I990" s="2">
        <v>59</v>
      </c>
      <c r="J990" s="2">
        <v>4</v>
      </c>
      <c r="K990" s="2">
        <v>3.7</v>
      </c>
      <c r="L990" s="3">
        <f t="shared" si="45"/>
        <v>0.38556189970344795</v>
      </c>
      <c r="M990" s="4">
        <f t="shared" si="46"/>
        <v>443</v>
      </c>
      <c r="N990" s="2">
        <f t="shared" si="47"/>
        <v>5.666666666666667</v>
      </c>
    </row>
    <row r="991" spans="1:14" x14ac:dyDescent="0.25">
      <c r="A991" s="5" t="s">
        <v>364</v>
      </c>
      <c r="B991" s="5" t="s">
        <v>340</v>
      </c>
      <c r="C991" s="5" t="s">
        <v>16</v>
      </c>
      <c r="D991" s="5" t="s">
        <v>19</v>
      </c>
      <c r="E991" s="5">
        <v>43</v>
      </c>
      <c r="F991" s="5">
        <v>14534</v>
      </c>
      <c r="G991" s="5">
        <v>5374</v>
      </c>
      <c r="H991" s="5">
        <v>6</v>
      </c>
      <c r="I991" s="5">
        <v>61</v>
      </c>
      <c r="J991" s="5">
        <v>2</v>
      </c>
      <c r="K991" s="5">
        <v>4.2</v>
      </c>
      <c r="L991" s="6">
        <f t="shared" si="45"/>
        <v>0.36975368102380624</v>
      </c>
      <c r="M991" s="7">
        <f t="shared" si="46"/>
        <v>338</v>
      </c>
      <c r="N991" s="5">
        <f t="shared" si="47"/>
        <v>7.166666666666667</v>
      </c>
    </row>
    <row r="992" spans="1:14" x14ac:dyDescent="0.25">
      <c r="A992" s="2" t="s">
        <v>365</v>
      </c>
      <c r="B992" s="2" t="s">
        <v>340</v>
      </c>
      <c r="C992" s="2" t="s">
        <v>21</v>
      </c>
      <c r="D992" s="2" t="s">
        <v>17</v>
      </c>
      <c r="E992" s="2">
        <v>38</v>
      </c>
      <c r="F992" s="2">
        <v>9462</v>
      </c>
      <c r="G992" s="2">
        <v>3100</v>
      </c>
      <c r="H992" s="2">
        <v>5</v>
      </c>
      <c r="I992" s="2">
        <v>53</v>
      </c>
      <c r="J992" s="2">
        <v>0</v>
      </c>
      <c r="K992" s="2">
        <v>3.9</v>
      </c>
      <c r="L992" s="3">
        <f t="shared" si="45"/>
        <v>0.32762629465229337</v>
      </c>
      <c r="M992" s="4">
        <f t="shared" si="46"/>
        <v>249</v>
      </c>
      <c r="N992" s="2">
        <f t="shared" si="47"/>
        <v>7.6</v>
      </c>
    </row>
    <row r="993" spans="1:14" x14ac:dyDescent="0.25">
      <c r="A993" s="5" t="s">
        <v>365</v>
      </c>
      <c r="B993" s="5" t="s">
        <v>340</v>
      </c>
      <c r="C993" s="5" t="s">
        <v>21</v>
      </c>
      <c r="D993" s="5" t="s">
        <v>18</v>
      </c>
      <c r="E993" s="5">
        <v>75</v>
      </c>
      <c r="F993" s="5">
        <v>27150</v>
      </c>
      <c r="G993" s="5">
        <v>8082</v>
      </c>
      <c r="H993" s="5">
        <v>7</v>
      </c>
      <c r="I993" s="5">
        <v>61</v>
      </c>
      <c r="J993" s="5">
        <v>1</v>
      </c>
      <c r="K993" s="5">
        <v>4.5</v>
      </c>
      <c r="L993" s="6">
        <f t="shared" si="45"/>
        <v>0.29767955801104973</v>
      </c>
      <c r="M993" s="7">
        <f t="shared" si="46"/>
        <v>362</v>
      </c>
      <c r="N993" s="5">
        <f t="shared" si="47"/>
        <v>10.714285714285714</v>
      </c>
    </row>
    <row r="994" spans="1:14" x14ac:dyDescent="0.25">
      <c r="A994" s="2" t="s">
        <v>365</v>
      </c>
      <c r="B994" s="2" t="s">
        <v>340</v>
      </c>
      <c r="C994" s="2" t="s">
        <v>21</v>
      </c>
      <c r="D994" s="2" t="s">
        <v>19</v>
      </c>
      <c r="E994" s="2">
        <v>39</v>
      </c>
      <c r="F994" s="2">
        <v>8697</v>
      </c>
      <c r="G994" s="2">
        <v>2968</v>
      </c>
      <c r="H994" s="2">
        <v>5</v>
      </c>
      <c r="I994" s="2">
        <v>61</v>
      </c>
      <c r="J994" s="2">
        <v>3</v>
      </c>
      <c r="K994" s="2">
        <v>4.0999999999999996</v>
      </c>
      <c r="L994" s="3">
        <f t="shared" si="45"/>
        <v>0.34126710359894219</v>
      </c>
      <c r="M994" s="4">
        <f t="shared" si="46"/>
        <v>223</v>
      </c>
      <c r="N994" s="2">
        <f t="shared" si="47"/>
        <v>7.8</v>
      </c>
    </row>
    <row r="995" spans="1:14" x14ac:dyDescent="0.25">
      <c r="A995" s="5" t="s">
        <v>366</v>
      </c>
      <c r="B995" s="5" t="s">
        <v>340</v>
      </c>
      <c r="C995" s="5" t="s">
        <v>23</v>
      </c>
      <c r="D995" s="5" t="s">
        <v>17</v>
      </c>
      <c r="E995" s="5">
        <v>34</v>
      </c>
      <c r="F995" s="5">
        <v>8704</v>
      </c>
      <c r="G995" s="5">
        <v>2930</v>
      </c>
      <c r="H995" s="5">
        <v>4</v>
      </c>
      <c r="I995" s="5">
        <v>38</v>
      </c>
      <c r="J995" s="5">
        <v>1</v>
      </c>
      <c r="K995" s="5">
        <v>3.9</v>
      </c>
      <c r="L995" s="6">
        <f t="shared" si="45"/>
        <v>0.3366268382352941</v>
      </c>
      <c r="M995" s="7">
        <f t="shared" si="46"/>
        <v>256</v>
      </c>
      <c r="N995" s="5">
        <f t="shared" si="47"/>
        <v>8.5</v>
      </c>
    </row>
    <row r="996" spans="1:14" x14ac:dyDescent="0.25">
      <c r="A996" s="2" t="s">
        <v>366</v>
      </c>
      <c r="B996" s="2" t="s">
        <v>340</v>
      </c>
      <c r="C996" s="2" t="s">
        <v>23</v>
      </c>
      <c r="D996" s="2" t="s">
        <v>18</v>
      </c>
      <c r="E996" s="2">
        <v>91</v>
      </c>
      <c r="F996" s="2">
        <v>42133</v>
      </c>
      <c r="G996" s="2">
        <v>12468</v>
      </c>
      <c r="H996" s="2">
        <v>6</v>
      </c>
      <c r="I996" s="2">
        <v>62</v>
      </c>
      <c r="J996" s="2">
        <v>3</v>
      </c>
      <c r="K996" s="2">
        <v>4.2</v>
      </c>
      <c r="L996" s="3">
        <f t="shared" si="45"/>
        <v>0.29592006265872356</v>
      </c>
      <c r="M996" s="4">
        <f t="shared" si="46"/>
        <v>463</v>
      </c>
      <c r="N996" s="2">
        <f t="shared" si="47"/>
        <v>15.166666666666666</v>
      </c>
    </row>
    <row r="997" spans="1:14" x14ac:dyDescent="0.25">
      <c r="A997" s="5" t="s">
        <v>366</v>
      </c>
      <c r="B997" s="5" t="s">
        <v>340</v>
      </c>
      <c r="C997" s="5" t="s">
        <v>23</v>
      </c>
      <c r="D997" s="5" t="s">
        <v>19</v>
      </c>
      <c r="E997" s="5">
        <v>29</v>
      </c>
      <c r="F997" s="5">
        <v>6699</v>
      </c>
      <c r="G997" s="5">
        <v>2304</v>
      </c>
      <c r="H997" s="5">
        <v>7</v>
      </c>
      <c r="I997" s="5">
        <v>57</v>
      </c>
      <c r="J997" s="5">
        <v>1</v>
      </c>
      <c r="K997" s="5">
        <v>3.8</v>
      </c>
      <c r="L997" s="6">
        <f t="shared" si="45"/>
        <v>0.34393193013882667</v>
      </c>
      <c r="M997" s="7">
        <f t="shared" si="46"/>
        <v>231</v>
      </c>
      <c r="N997" s="5">
        <f t="shared" si="47"/>
        <v>4.1428571428571432</v>
      </c>
    </row>
    <row r="998" spans="1:14" x14ac:dyDescent="0.25">
      <c r="A998" s="2" t="s">
        <v>367</v>
      </c>
      <c r="B998" s="2" t="s">
        <v>340</v>
      </c>
      <c r="C998" s="2" t="s">
        <v>25</v>
      </c>
      <c r="D998" s="2" t="s">
        <v>17</v>
      </c>
      <c r="E998" s="2">
        <v>40</v>
      </c>
      <c r="F998" s="2">
        <v>8280</v>
      </c>
      <c r="G998" s="2">
        <v>2899</v>
      </c>
      <c r="H998" s="2">
        <v>4</v>
      </c>
      <c r="I998" s="2">
        <v>48</v>
      </c>
      <c r="J998" s="2">
        <v>0</v>
      </c>
      <c r="K998" s="2">
        <v>4.5</v>
      </c>
      <c r="L998" s="3">
        <f t="shared" si="45"/>
        <v>0.35012077294685989</v>
      </c>
      <c r="M998" s="4">
        <f t="shared" si="46"/>
        <v>207</v>
      </c>
      <c r="N998" s="2">
        <f t="shared" si="47"/>
        <v>10</v>
      </c>
    </row>
    <row r="999" spans="1:14" x14ac:dyDescent="0.25">
      <c r="A999" s="5" t="s">
        <v>367</v>
      </c>
      <c r="B999" s="5" t="s">
        <v>340</v>
      </c>
      <c r="C999" s="5" t="s">
        <v>25</v>
      </c>
      <c r="D999" s="5" t="s">
        <v>18</v>
      </c>
      <c r="E999" s="5">
        <v>143</v>
      </c>
      <c r="F999" s="5">
        <v>65494</v>
      </c>
      <c r="G999" s="5">
        <v>24388</v>
      </c>
      <c r="H999" s="5">
        <v>8</v>
      </c>
      <c r="I999" s="5">
        <v>55</v>
      </c>
      <c r="J999" s="5">
        <v>3</v>
      </c>
      <c r="K999" s="5">
        <v>4.0999999999999996</v>
      </c>
      <c r="L999" s="6">
        <f t="shared" si="45"/>
        <v>0.37236998809051208</v>
      </c>
      <c r="M999" s="7">
        <f t="shared" si="46"/>
        <v>458</v>
      </c>
      <c r="N999" s="5">
        <f t="shared" si="47"/>
        <v>17.875</v>
      </c>
    </row>
    <row r="1000" spans="1:14" x14ac:dyDescent="0.25">
      <c r="A1000" s="2" t="s">
        <v>367</v>
      </c>
      <c r="B1000" s="2" t="s">
        <v>340</v>
      </c>
      <c r="C1000" s="2" t="s">
        <v>25</v>
      </c>
      <c r="D1000" s="2" t="s">
        <v>19</v>
      </c>
      <c r="E1000" s="2">
        <v>31</v>
      </c>
      <c r="F1000" s="2">
        <v>9951</v>
      </c>
      <c r="G1000" s="2">
        <v>2946</v>
      </c>
      <c r="H1000" s="2">
        <v>6</v>
      </c>
      <c r="I1000" s="2">
        <v>41</v>
      </c>
      <c r="J1000" s="2">
        <v>0</v>
      </c>
      <c r="K1000" s="2">
        <v>3.9</v>
      </c>
      <c r="L1000" s="3">
        <f t="shared" si="45"/>
        <v>0.29605064817606269</v>
      </c>
      <c r="M1000" s="4">
        <f t="shared" si="46"/>
        <v>321</v>
      </c>
      <c r="N1000" s="2">
        <f t="shared" si="47"/>
        <v>5.166666666666667</v>
      </c>
    </row>
    <row r="1001" spans="1:14" x14ac:dyDescent="0.25">
      <c r="A1001" s="5" t="s">
        <v>368</v>
      </c>
      <c r="B1001" s="5" t="s">
        <v>340</v>
      </c>
      <c r="C1001" s="5" t="s">
        <v>27</v>
      </c>
      <c r="D1001" s="5" t="s">
        <v>17</v>
      </c>
      <c r="E1001" s="5">
        <v>73</v>
      </c>
      <c r="F1001" s="5">
        <v>14892</v>
      </c>
      <c r="G1001" s="5">
        <v>5330</v>
      </c>
      <c r="H1001" s="5">
        <v>4</v>
      </c>
      <c r="I1001" s="5">
        <v>43</v>
      </c>
      <c r="J1001" s="5">
        <v>2</v>
      </c>
      <c r="K1001" s="5">
        <v>4</v>
      </c>
      <c r="L1001" s="6">
        <f t="shared" si="45"/>
        <v>0.35791028740263231</v>
      </c>
      <c r="M1001" s="7">
        <f t="shared" si="46"/>
        <v>204</v>
      </c>
      <c r="N1001" s="5">
        <f t="shared" si="47"/>
        <v>18.25</v>
      </c>
    </row>
    <row r="1002" spans="1:14" x14ac:dyDescent="0.25">
      <c r="A1002" s="2" t="s">
        <v>368</v>
      </c>
      <c r="B1002" s="2" t="s">
        <v>340</v>
      </c>
      <c r="C1002" s="2" t="s">
        <v>27</v>
      </c>
      <c r="D1002" s="2" t="s">
        <v>18</v>
      </c>
      <c r="E1002" s="2">
        <v>118</v>
      </c>
      <c r="F1002" s="2">
        <v>53808</v>
      </c>
      <c r="G1002" s="2">
        <v>18205</v>
      </c>
      <c r="H1002" s="2">
        <v>10</v>
      </c>
      <c r="I1002" s="2">
        <v>53</v>
      </c>
      <c r="J1002" s="2">
        <v>1</v>
      </c>
      <c r="K1002" s="2">
        <v>4.5999999999999996</v>
      </c>
      <c r="L1002" s="3">
        <f t="shared" si="45"/>
        <v>0.33833258994944987</v>
      </c>
      <c r="M1002" s="4">
        <f t="shared" si="46"/>
        <v>456</v>
      </c>
      <c r="N1002" s="2">
        <f t="shared" si="47"/>
        <v>11.8</v>
      </c>
    </row>
    <row r="1003" spans="1:14" x14ac:dyDescent="0.25">
      <c r="A1003" s="5" t="s">
        <v>368</v>
      </c>
      <c r="B1003" s="5" t="s">
        <v>340</v>
      </c>
      <c r="C1003" s="5" t="s">
        <v>27</v>
      </c>
      <c r="D1003" s="5" t="s">
        <v>19</v>
      </c>
      <c r="E1003" s="5">
        <v>86</v>
      </c>
      <c r="F1003" s="5">
        <v>21328</v>
      </c>
      <c r="G1003" s="5">
        <v>6626</v>
      </c>
      <c r="H1003" s="5">
        <v>4</v>
      </c>
      <c r="I1003" s="5">
        <v>51</v>
      </c>
      <c r="J1003" s="5">
        <v>0</v>
      </c>
      <c r="K1003" s="5">
        <v>3.8</v>
      </c>
      <c r="L1003" s="6">
        <f t="shared" si="45"/>
        <v>0.31067141785446362</v>
      </c>
      <c r="M1003" s="7">
        <f t="shared" si="46"/>
        <v>248</v>
      </c>
      <c r="N1003" s="5">
        <f t="shared" si="47"/>
        <v>21.5</v>
      </c>
    </row>
    <row r="1004" spans="1:14" x14ac:dyDescent="0.25">
      <c r="A1004" s="2" t="s">
        <v>369</v>
      </c>
      <c r="B1004" s="2" t="s">
        <v>340</v>
      </c>
      <c r="C1004" s="2" t="s">
        <v>29</v>
      </c>
      <c r="D1004" s="2" t="s">
        <v>17</v>
      </c>
      <c r="E1004" s="2">
        <v>96</v>
      </c>
      <c r="F1004" s="2">
        <v>26304</v>
      </c>
      <c r="G1004" s="2">
        <v>8906</v>
      </c>
      <c r="H1004" s="2">
        <v>5</v>
      </c>
      <c r="I1004" s="2">
        <v>42</v>
      </c>
      <c r="J1004" s="2">
        <v>2</v>
      </c>
      <c r="K1004" s="2">
        <v>4.5</v>
      </c>
      <c r="L1004" s="3">
        <f t="shared" si="45"/>
        <v>0.33857968369829683</v>
      </c>
      <c r="M1004" s="4">
        <f t="shared" si="46"/>
        <v>274</v>
      </c>
      <c r="N1004" s="2">
        <f t="shared" si="47"/>
        <v>19.2</v>
      </c>
    </row>
    <row r="1005" spans="1:14" x14ac:dyDescent="0.25">
      <c r="A1005" s="5" t="s">
        <v>369</v>
      </c>
      <c r="B1005" s="5" t="s">
        <v>340</v>
      </c>
      <c r="C1005" s="5" t="s">
        <v>29</v>
      </c>
      <c r="D1005" s="5" t="s">
        <v>18</v>
      </c>
      <c r="E1005" s="5">
        <v>239</v>
      </c>
      <c r="F1005" s="5">
        <v>87474</v>
      </c>
      <c r="G1005" s="5">
        <v>26693</v>
      </c>
      <c r="H1005" s="5">
        <v>6</v>
      </c>
      <c r="I1005" s="5">
        <v>66</v>
      </c>
      <c r="J1005" s="5">
        <v>1</v>
      </c>
      <c r="K1005" s="5">
        <v>3.7</v>
      </c>
      <c r="L1005" s="6">
        <f t="shared" si="45"/>
        <v>0.30515353133502526</v>
      </c>
      <c r="M1005" s="7">
        <f t="shared" si="46"/>
        <v>366</v>
      </c>
      <c r="N1005" s="5">
        <f t="shared" si="47"/>
        <v>39.833333333333336</v>
      </c>
    </row>
    <row r="1006" spans="1:14" x14ac:dyDescent="0.25">
      <c r="A1006" s="2" t="s">
        <v>369</v>
      </c>
      <c r="B1006" s="2" t="s">
        <v>340</v>
      </c>
      <c r="C1006" s="2" t="s">
        <v>29</v>
      </c>
      <c r="D1006" s="2" t="s">
        <v>19</v>
      </c>
      <c r="E1006" s="2">
        <v>98</v>
      </c>
      <c r="F1006" s="2">
        <v>21266</v>
      </c>
      <c r="G1006" s="2">
        <v>6369</v>
      </c>
      <c r="H1006" s="2">
        <v>4</v>
      </c>
      <c r="I1006" s="2">
        <v>49</v>
      </c>
      <c r="J1006" s="2">
        <v>3</v>
      </c>
      <c r="K1006" s="2">
        <v>4.4000000000000004</v>
      </c>
      <c r="L1006" s="3">
        <f t="shared" si="45"/>
        <v>0.29949214708925043</v>
      </c>
      <c r="M1006" s="4">
        <f t="shared" si="46"/>
        <v>217</v>
      </c>
      <c r="N1006" s="2">
        <f t="shared" si="47"/>
        <v>24.5</v>
      </c>
    </row>
    <row r="1007" spans="1:14" x14ac:dyDescent="0.25">
      <c r="A1007" s="5" t="s">
        <v>370</v>
      </c>
      <c r="B1007" s="5" t="s">
        <v>371</v>
      </c>
      <c r="C1007" s="5" t="s">
        <v>31</v>
      </c>
      <c r="D1007" s="5" t="s">
        <v>17</v>
      </c>
      <c r="E1007" s="5">
        <v>47</v>
      </c>
      <c r="F1007" s="5">
        <v>12972</v>
      </c>
      <c r="G1007" s="5">
        <v>4118</v>
      </c>
      <c r="H1007" s="5">
        <v>4</v>
      </c>
      <c r="I1007" s="5">
        <v>46</v>
      </c>
      <c r="J1007" s="5">
        <v>2</v>
      </c>
      <c r="K1007" s="5">
        <v>4.3</v>
      </c>
      <c r="L1007" s="6">
        <f t="shared" si="45"/>
        <v>0.31745297563983965</v>
      </c>
      <c r="M1007" s="7">
        <f t="shared" si="46"/>
        <v>276</v>
      </c>
      <c r="N1007" s="5">
        <f t="shared" si="47"/>
        <v>11.75</v>
      </c>
    </row>
    <row r="1008" spans="1:14" x14ac:dyDescent="0.25">
      <c r="A1008" s="2" t="s">
        <v>370</v>
      </c>
      <c r="B1008" s="2" t="s">
        <v>371</v>
      </c>
      <c r="C1008" s="2" t="s">
        <v>31</v>
      </c>
      <c r="D1008" s="2" t="s">
        <v>18</v>
      </c>
      <c r="E1008" s="2">
        <v>125</v>
      </c>
      <c r="F1008" s="2">
        <v>37125</v>
      </c>
      <c r="G1008" s="2">
        <v>14244</v>
      </c>
      <c r="H1008" s="2">
        <v>10</v>
      </c>
      <c r="I1008" s="2">
        <v>51</v>
      </c>
      <c r="J1008" s="2">
        <v>2</v>
      </c>
      <c r="K1008" s="2">
        <v>4.2</v>
      </c>
      <c r="L1008" s="3">
        <f t="shared" si="45"/>
        <v>0.38367676767676767</v>
      </c>
      <c r="M1008" s="4">
        <f t="shared" si="46"/>
        <v>297</v>
      </c>
      <c r="N1008" s="2">
        <f t="shared" si="47"/>
        <v>12.5</v>
      </c>
    </row>
    <row r="1009" spans="1:14" x14ac:dyDescent="0.25">
      <c r="A1009" s="5" t="s">
        <v>370</v>
      </c>
      <c r="B1009" s="5" t="s">
        <v>371</v>
      </c>
      <c r="C1009" s="5" t="s">
        <v>31</v>
      </c>
      <c r="D1009" s="5" t="s">
        <v>19</v>
      </c>
      <c r="E1009" s="5">
        <v>91</v>
      </c>
      <c r="F1009" s="5">
        <v>27027</v>
      </c>
      <c r="G1009" s="5">
        <v>8126</v>
      </c>
      <c r="H1009" s="5">
        <v>4</v>
      </c>
      <c r="I1009" s="5">
        <v>64</v>
      </c>
      <c r="J1009" s="5">
        <v>2</v>
      </c>
      <c r="K1009" s="5">
        <v>3.9</v>
      </c>
      <c r="L1009" s="6">
        <f t="shared" si="45"/>
        <v>0.30066230066230065</v>
      </c>
      <c r="M1009" s="7">
        <f t="shared" si="46"/>
        <v>297</v>
      </c>
      <c r="N1009" s="5">
        <f t="shared" si="47"/>
        <v>22.75</v>
      </c>
    </row>
    <row r="1010" spans="1:14" x14ac:dyDescent="0.25">
      <c r="A1010" s="2" t="s">
        <v>372</v>
      </c>
      <c r="B1010" s="2" t="s">
        <v>371</v>
      </c>
      <c r="C1010" s="2" t="s">
        <v>16</v>
      </c>
      <c r="D1010" s="2" t="s">
        <v>17</v>
      </c>
      <c r="E1010" s="2">
        <v>22</v>
      </c>
      <c r="F1010" s="2">
        <v>5808</v>
      </c>
      <c r="G1010" s="2">
        <v>2020</v>
      </c>
      <c r="H1010" s="2">
        <v>5</v>
      </c>
      <c r="I1010" s="2">
        <v>52</v>
      </c>
      <c r="J1010" s="2">
        <v>0</v>
      </c>
      <c r="K1010" s="2">
        <v>4.3</v>
      </c>
      <c r="L1010" s="3">
        <f t="shared" si="45"/>
        <v>0.34779614325068869</v>
      </c>
      <c r="M1010" s="4">
        <f t="shared" si="46"/>
        <v>264</v>
      </c>
      <c r="N1010" s="2">
        <f t="shared" si="47"/>
        <v>4.4000000000000004</v>
      </c>
    </row>
    <row r="1011" spans="1:14" x14ac:dyDescent="0.25">
      <c r="A1011" s="5" t="s">
        <v>372</v>
      </c>
      <c r="B1011" s="5" t="s">
        <v>371</v>
      </c>
      <c r="C1011" s="5" t="s">
        <v>16</v>
      </c>
      <c r="D1011" s="5" t="s">
        <v>18</v>
      </c>
      <c r="E1011" s="5">
        <v>114</v>
      </c>
      <c r="F1011" s="5">
        <v>35454</v>
      </c>
      <c r="G1011" s="5">
        <v>12792</v>
      </c>
      <c r="H1011" s="5">
        <v>9</v>
      </c>
      <c r="I1011" s="5">
        <v>46</v>
      </c>
      <c r="J1011" s="5">
        <v>3</v>
      </c>
      <c r="K1011" s="5">
        <v>4.5</v>
      </c>
      <c r="L1011" s="6">
        <f t="shared" si="45"/>
        <v>0.36080555085462851</v>
      </c>
      <c r="M1011" s="7">
        <f t="shared" si="46"/>
        <v>311</v>
      </c>
      <c r="N1011" s="5">
        <f t="shared" si="47"/>
        <v>12.666666666666666</v>
      </c>
    </row>
    <row r="1012" spans="1:14" x14ac:dyDescent="0.25">
      <c r="A1012" s="2" t="s">
        <v>372</v>
      </c>
      <c r="B1012" s="2" t="s">
        <v>371</v>
      </c>
      <c r="C1012" s="2" t="s">
        <v>16</v>
      </c>
      <c r="D1012" s="2" t="s">
        <v>19</v>
      </c>
      <c r="E1012" s="2">
        <v>63</v>
      </c>
      <c r="F1012" s="2">
        <v>22050</v>
      </c>
      <c r="G1012" s="2">
        <v>9038</v>
      </c>
      <c r="H1012" s="2">
        <v>4</v>
      </c>
      <c r="I1012" s="2">
        <v>63</v>
      </c>
      <c r="J1012" s="2">
        <v>1</v>
      </c>
      <c r="K1012" s="2">
        <v>3.8</v>
      </c>
      <c r="L1012" s="3">
        <f t="shared" si="45"/>
        <v>0.40988662131519277</v>
      </c>
      <c r="M1012" s="4">
        <f t="shared" si="46"/>
        <v>350</v>
      </c>
      <c r="N1012" s="2">
        <f t="shared" si="47"/>
        <v>15.75</v>
      </c>
    </row>
    <row r="1013" spans="1:14" x14ac:dyDescent="0.25">
      <c r="A1013" s="5" t="s">
        <v>373</v>
      </c>
      <c r="B1013" s="5" t="s">
        <v>371</v>
      </c>
      <c r="C1013" s="5" t="s">
        <v>21</v>
      </c>
      <c r="D1013" s="5" t="s">
        <v>17</v>
      </c>
      <c r="E1013" s="5">
        <v>43</v>
      </c>
      <c r="F1013" s="5">
        <v>8127</v>
      </c>
      <c r="G1013" s="5">
        <v>3302</v>
      </c>
      <c r="H1013" s="5">
        <v>3</v>
      </c>
      <c r="I1013" s="5">
        <v>35</v>
      </c>
      <c r="J1013" s="5">
        <v>1</v>
      </c>
      <c r="K1013" s="5">
        <v>4.2</v>
      </c>
      <c r="L1013" s="6">
        <f t="shared" si="45"/>
        <v>0.40629998769533654</v>
      </c>
      <c r="M1013" s="7">
        <f t="shared" si="46"/>
        <v>189</v>
      </c>
      <c r="N1013" s="5">
        <f t="shared" si="47"/>
        <v>14.333333333333334</v>
      </c>
    </row>
    <row r="1014" spans="1:14" x14ac:dyDescent="0.25">
      <c r="A1014" s="2" t="s">
        <v>373</v>
      </c>
      <c r="B1014" s="2" t="s">
        <v>371</v>
      </c>
      <c r="C1014" s="2" t="s">
        <v>21</v>
      </c>
      <c r="D1014" s="2" t="s">
        <v>18</v>
      </c>
      <c r="E1014" s="2">
        <v>104</v>
      </c>
      <c r="F1014" s="2">
        <v>37232</v>
      </c>
      <c r="G1014" s="2">
        <v>13102</v>
      </c>
      <c r="H1014" s="2">
        <v>7</v>
      </c>
      <c r="I1014" s="2">
        <v>52</v>
      </c>
      <c r="J1014" s="2">
        <v>4</v>
      </c>
      <c r="K1014" s="2">
        <v>4.3</v>
      </c>
      <c r="L1014" s="3">
        <f t="shared" si="45"/>
        <v>0.35190159003008165</v>
      </c>
      <c r="M1014" s="4">
        <f t="shared" si="46"/>
        <v>358</v>
      </c>
      <c r="N1014" s="2">
        <f t="shared" si="47"/>
        <v>14.857142857142858</v>
      </c>
    </row>
    <row r="1015" spans="1:14" x14ac:dyDescent="0.25">
      <c r="A1015" s="5" t="s">
        <v>373</v>
      </c>
      <c r="B1015" s="5" t="s">
        <v>371</v>
      </c>
      <c r="C1015" s="5" t="s">
        <v>21</v>
      </c>
      <c r="D1015" s="5" t="s">
        <v>19</v>
      </c>
      <c r="E1015" s="5">
        <v>68</v>
      </c>
      <c r="F1015" s="5">
        <v>21216</v>
      </c>
      <c r="G1015" s="5">
        <v>7405</v>
      </c>
      <c r="H1015" s="5">
        <v>7</v>
      </c>
      <c r="I1015" s="5">
        <v>56</v>
      </c>
      <c r="J1015" s="5">
        <v>3</v>
      </c>
      <c r="K1015" s="5">
        <v>4.5999999999999996</v>
      </c>
      <c r="L1015" s="6">
        <f t="shared" si="45"/>
        <v>0.34902903469079938</v>
      </c>
      <c r="M1015" s="7">
        <f t="shared" si="46"/>
        <v>312</v>
      </c>
      <c r="N1015" s="5">
        <f t="shared" si="47"/>
        <v>9.7142857142857135</v>
      </c>
    </row>
    <row r="1016" spans="1:14" x14ac:dyDescent="0.25">
      <c r="A1016" s="2" t="s">
        <v>374</v>
      </c>
      <c r="B1016" s="2" t="s">
        <v>371</v>
      </c>
      <c r="C1016" s="2" t="s">
        <v>23</v>
      </c>
      <c r="D1016" s="2" t="s">
        <v>17</v>
      </c>
      <c r="E1016" s="2">
        <v>40</v>
      </c>
      <c r="F1016" s="2">
        <v>10160</v>
      </c>
      <c r="G1016" s="2">
        <v>2884</v>
      </c>
      <c r="H1016" s="2">
        <v>3</v>
      </c>
      <c r="I1016" s="2">
        <v>46</v>
      </c>
      <c r="J1016" s="2">
        <v>1</v>
      </c>
      <c r="K1016" s="2">
        <v>4.5</v>
      </c>
      <c r="L1016" s="3">
        <f t="shared" si="45"/>
        <v>0.28385826771653544</v>
      </c>
      <c r="M1016" s="4">
        <f t="shared" si="46"/>
        <v>254</v>
      </c>
      <c r="N1016" s="2">
        <f t="shared" si="47"/>
        <v>13.333333333333334</v>
      </c>
    </row>
    <row r="1017" spans="1:14" x14ac:dyDescent="0.25">
      <c r="A1017" s="5" t="s">
        <v>374</v>
      </c>
      <c r="B1017" s="5" t="s">
        <v>371</v>
      </c>
      <c r="C1017" s="5" t="s">
        <v>23</v>
      </c>
      <c r="D1017" s="5" t="s">
        <v>18</v>
      </c>
      <c r="E1017" s="5">
        <v>94</v>
      </c>
      <c r="F1017" s="5">
        <v>44744</v>
      </c>
      <c r="G1017" s="5">
        <v>12736</v>
      </c>
      <c r="H1017" s="5">
        <v>8</v>
      </c>
      <c r="I1017" s="5">
        <v>47</v>
      </c>
      <c r="J1017" s="5">
        <v>2</v>
      </c>
      <c r="K1017" s="5">
        <v>4.2</v>
      </c>
      <c r="L1017" s="6">
        <f t="shared" si="45"/>
        <v>0.28464151618094047</v>
      </c>
      <c r="M1017" s="7">
        <f t="shared" si="46"/>
        <v>476</v>
      </c>
      <c r="N1017" s="5">
        <f t="shared" si="47"/>
        <v>11.75</v>
      </c>
    </row>
    <row r="1018" spans="1:14" x14ac:dyDescent="0.25">
      <c r="A1018" s="2" t="s">
        <v>374</v>
      </c>
      <c r="B1018" s="2" t="s">
        <v>371</v>
      </c>
      <c r="C1018" s="2" t="s">
        <v>23</v>
      </c>
      <c r="D1018" s="2" t="s">
        <v>19</v>
      </c>
      <c r="E1018" s="2">
        <v>71</v>
      </c>
      <c r="F1018" s="2">
        <v>23359</v>
      </c>
      <c r="G1018" s="2">
        <v>7459</v>
      </c>
      <c r="H1018" s="2">
        <v>7</v>
      </c>
      <c r="I1018" s="2">
        <v>52</v>
      </c>
      <c r="J1018" s="2">
        <v>2</v>
      </c>
      <c r="K1018" s="2">
        <v>4.4000000000000004</v>
      </c>
      <c r="L1018" s="3">
        <f t="shared" si="45"/>
        <v>0.31932017637741339</v>
      </c>
      <c r="M1018" s="4">
        <f t="shared" si="46"/>
        <v>329</v>
      </c>
      <c r="N1018" s="2">
        <f t="shared" si="47"/>
        <v>10.142857142857142</v>
      </c>
    </row>
    <row r="1019" spans="1:14" x14ac:dyDescent="0.25">
      <c r="A1019" s="5" t="s">
        <v>375</v>
      </c>
      <c r="B1019" s="5" t="s">
        <v>371</v>
      </c>
      <c r="C1019" s="5" t="s">
        <v>25</v>
      </c>
      <c r="D1019" s="5" t="s">
        <v>17</v>
      </c>
      <c r="E1019" s="5">
        <v>49</v>
      </c>
      <c r="F1019" s="5">
        <v>9751</v>
      </c>
      <c r="G1019" s="5">
        <v>3499</v>
      </c>
      <c r="H1019" s="5">
        <v>3</v>
      </c>
      <c r="I1019" s="5">
        <v>37</v>
      </c>
      <c r="J1019" s="5">
        <v>0</v>
      </c>
      <c r="K1019" s="5">
        <v>4</v>
      </c>
      <c r="L1019" s="6">
        <f t="shared" si="45"/>
        <v>0.35883499128294533</v>
      </c>
      <c r="M1019" s="7">
        <f t="shared" si="46"/>
        <v>199</v>
      </c>
      <c r="N1019" s="5">
        <f t="shared" si="47"/>
        <v>16.333333333333332</v>
      </c>
    </row>
    <row r="1020" spans="1:14" x14ac:dyDescent="0.25">
      <c r="A1020" s="2" t="s">
        <v>375</v>
      </c>
      <c r="B1020" s="2" t="s">
        <v>371</v>
      </c>
      <c r="C1020" s="2" t="s">
        <v>25</v>
      </c>
      <c r="D1020" s="2" t="s">
        <v>18</v>
      </c>
      <c r="E1020" s="2">
        <v>82</v>
      </c>
      <c r="F1020" s="2">
        <v>30996</v>
      </c>
      <c r="G1020" s="2">
        <v>10748</v>
      </c>
      <c r="H1020" s="2">
        <v>6</v>
      </c>
      <c r="I1020" s="2">
        <v>59</v>
      </c>
      <c r="J1020" s="2">
        <v>3</v>
      </c>
      <c r="K1020" s="2">
        <v>4.3</v>
      </c>
      <c r="L1020" s="3">
        <f t="shared" si="45"/>
        <v>0.34675441992515166</v>
      </c>
      <c r="M1020" s="4">
        <f t="shared" si="46"/>
        <v>378</v>
      </c>
      <c r="N1020" s="2">
        <f t="shared" si="47"/>
        <v>13.666666666666666</v>
      </c>
    </row>
    <row r="1021" spans="1:14" x14ac:dyDescent="0.25">
      <c r="A1021" s="5" t="s">
        <v>375</v>
      </c>
      <c r="B1021" s="5" t="s">
        <v>371</v>
      </c>
      <c r="C1021" s="5" t="s">
        <v>25</v>
      </c>
      <c r="D1021" s="5" t="s">
        <v>19</v>
      </c>
      <c r="E1021" s="5">
        <v>34</v>
      </c>
      <c r="F1021" s="5">
        <v>7004</v>
      </c>
      <c r="G1021" s="5">
        <v>2603</v>
      </c>
      <c r="H1021" s="5">
        <v>6</v>
      </c>
      <c r="I1021" s="5">
        <v>53</v>
      </c>
      <c r="J1021" s="5">
        <v>1</v>
      </c>
      <c r="K1021" s="5">
        <v>3.7</v>
      </c>
      <c r="L1021" s="6">
        <f t="shared" si="45"/>
        <v>0.37164477441462024</v>
      </c>
      <c r="M1021" s="7">
        <f t="shared" si="46"/>
        <v>206</v>
      </c>
      <c r="N1021" s="5">
        <f t="shared" si="47"/>
        <v>5.666666666666667</v>
      </c>
    </row>
    <row r="1022" spans="1:14" x14ac:dyDescent="0.25">
      <c r="A1022" s="2" t="s">
        <v>376</v>
      </c>
      <c r="B1022" s="2" t="s">
        <v>371</v>
      </c>
      <c r="C1022" s="2" t="s">
        <v>27</v>
      </c>
      <c r="D1022" s="2" t="s">
        <v>17</v>
      </c>
      <c r="E1022" s="2">
        <v>56</v>
      </c>
      <c r="F1022" s="2">
        <v>11312</v>
      </c>
      <c r="G1022" s="2">
        <v>3349</v>
      </c>
      <c r="H1022" s="2">
        <v>4</v>
      </c>
      <c r="I1022" s="2">
        <v>47</v>
      </c>
      <c r="J1022" s="2">
        <v>0</v>
      </c>
      <c r="K1022" s="2">
        <v>4</v>
      </c>
      <c r="L1022" s="3">
        <f t="shared" si="45"/>
        <v>0.29605728429985856</v>
      </c>
      <c r="M1022" s="4">
        <f t="shared" si="46"/>
        <v>202</v>
      </c>
      <c r="N1022" s="2">
        <f t="shared" si="47"/>
        <v>14</v>
      </c>
    </row>
    <row r="1023" spans="1:14" x14ac:dyDescent="0.25">
      <c r="A1023" s="5" t="s">
        <v>376</v>
      </c>
      <c r="B1023" s="5" t="s">
        <v>371</v>
      </c>
      <c r="C1023" s="5" t="s">
        <v>27</v>
      </c>
      <c r="D1023" s="5" t="s">
        <v>18</v>
      </c>
      <c r="E1023" s="5">
        <v>133</v>
      </c>
      <c r="F1023" s="5">
        <v>39900</v>
      </c>
      <c r="G1023" s="5">
        <v>16455</v>
      </c>
      <c r="H1023" s="5">
        <v>9</v>
      </c>
      <c r="I1023" s="5">
        <v>52</v>
      </c>
      <c r="J1023" s="5">
        <v>3</v>
      </c>
      <c r="K1023" s="5">
        <v>4.3</v>
      </c>
      <c r="L1023" s="6">
        <f t="shared" si="45"/>
        <v>0.412406015037594</v>
      </c>
      <c r="M1023" s="7">
        <f t="shared" si="46"/>
        <v>300</v>
      </c>
      <c r="N1023" s="5">
        <f t="shared" si="47"/>
        <v>14.777777777777779</v>
      </c>
    </row>
    <row r="1024" spans="1:14" x14ac:dyDescent="0.25">
      <c r="A1024" s="2" t="s">
        <v>376</v>
      </c>
      <c r="B1024" s="2" t="s">
        <v>371</v>
      </c>
      <c r="C1024" s="2" t="s">
        <v>27</v>
      </c>
      <c r="D1024" s="2" t="s">
        <v>19</v>
      </c>
      <c r="E1024" s="2">
        <v>85</v>
      </c>
      <c r="F1024" s="2">
        <v>21080</v>
      </c>
      <c r="G1024" s="2">
        <v>7727</v>
      </c>
      <c r="H1024" s="2">
        <v>7</v>
      </c>
      <c r="I1024" s="2">
        <v>52</v>
      </c>
      <c r="J1024" s="2">
        <v>3</v>
      </c>
      <c r="K1024" s="2">
        <v>4.5</v>
      </c>
      <c r="L1024" s="3">
        <f t="shared" si="45"/>
        <v>0.36655597722960154</v>
      </c>
      <c r="M1024" s="4">
        <f t="shared" si="46"/>
        <v>248</v>
      </c>
      <c r="N1024" s="2">
        <f t="shared" si="47"/>
        <v>12.142857142857142</v>
      </c>
    </row>
    <row r="1025" spans="1:14" x14ac:dyDescent="0.25">
      <c r="A1025" s="5" t="s">
        <v>377</v>
      </c>
      <c r="B1025" s="5" t="s">
        <v>371</v>
      </c>
      <c r="C1025" s="5" t="s">
        <v>29</v>
      </c>
      <c r="D1025" s="5" t="s">
        <v>17</v>
      </c>
      <c r="E1025" s="5">
        <v>96</v>
      </c>
      <c r="F1025" s="5">
        <v>24480</v>
      </c>
      <c r="G1025" s="5">
        <v>7503</v>
      </c>
      <c r="H1025" s="5">
        <v>3</v>
      </c>
      <c r="I1025" s="5">
        <v>38</v>
      </c>
      <c r="J1025" s="5">
        <v>2</v>
      </c>
      <c r="K1025" s="5">
        <v>4.2</v>
      </c>
      <c r="L1025" s="6">
        <f t="shared" si="45"/>
        <v>0.30649509803921571</v>
      </c>
      <c r="M1025" s="7">
        <f t="shared" si="46"/>
        <v>255</v>
      </c>
      <c r="N1025" s="5">
        <f t="shared" si="47"/>
        <v>32</v>
      </c>
    </row>
    <row r="1026" spans="1:14" x14ac:dyDescent="0.25">
      <c r="A1026" s="2" t="s">
        <v>377</v>
      </c>
      <c r="B1026" s="2" t="s">
        <v>371</v>
      </c>
      <c r="C1026" s="2" t="s">
        <v>29</v>
      </c>
      <c r="D1026" s="2" t="s">
        <v>18</v>
      </c>
      <c r="E1026" s="2">
        <v>125</v>
      </c>
      <c r="F1026" s="2">
        <v>42250</v>
      </c>
      <c r="G1026" s="2">
        <v>16952</v>
      </c>
      <c r="H1026" s="2">
        <v>9</v>
      </c>
      <c r="I1026" s="2">
        <v>61</v>
      </c>
      <c r="J1026" s="2">
        <v>4</v>
      </c>
      <c r="K1026" s="2">
        <v>4.5</v>
      </c>
      <c r="L1026" s="3">
        <f t="shared" ref="L1026:L1089" si="48">G1026/F1026</f>
        <v>0.40123076923076922</v>
      </c>
      <c r="M1026" s="4">
        <f t="shared" ref="M1026:M1089" si="49">F1026/E1026</f>
        <v>338</v>
      </c>
      <c r="N1026" s="2">
        <f t="shared" ref="N1026:N1089" si="50">E1026/H1026</f>
        <v>13.888888888888889</v>
      </c>
    </row>
    <row r="1027" spans="1:14" x14ac:dyDescent="0.25">
      <c r="A1027" s="5" t="s">
        <v>377</v>
      </c>
      <c r="B1027" s="5" t="s">
        <v>371</v>
      </c>
      <c r="C1027" s="5" t="s">
        <v>29</v>
      </c>
      <c r="D1027" s="5" t="s">
        <v>19</v>
      </c>
      <c r="E1027" s="5">
        <v>56</v>
      </c>
      <c r="F1027" s="5">
        <v>13496</v>
      </c>
      <c r="G1027" s="5">
        <v>5467</v>
      </c>
      <c r="H1027" s="5">
        <v>5</v>
      </c>
      <c r="I1027" s="5">
        <v>42</v>
      </c>
      <c r="J1027" s="5">
        <v>2</v>
      </c>
      <c r="K1027" s="5">
        <v>3.9</v>
      </c>
      <c r="L1027" s="6">
        <f t="shared" si="48"/>
        <v>0.40508298755186722</v>
      </c>
      <c r="M1027" s="7">
        <f t="shared" si="49"/>
        <v>241</v>
      </c>
      <c r="N1027" s="5">
        <f t="shared" si="50"/>
        <v>11.2</v>
      </c>
    </row>
    <row r="1028" spans="1:14" x14ac:dyDescent="0.25">
      <c r="A1028" s="2" t="s">
        <v>378</v>
      </c>
      <c r="B1028" s="2" t="s">
        <v>371</v>
      </c>
      <c r="C1028" s="2" t="s">
        <v>31</v>
      </c>
      <c r="D1028" s="2" t="s">
        <v>17</v>
      </c>
      <c r="E1028" s="2">
        <v>64</v>
      </c>
      <c r="F1028" s="2">
        <v>14272</v>
      </c>
      <c r="G1028" s="2">
        <v>4491</v>
      </c>
      <c r="H1028" s="2">
        <v>4</v>
      </c>
      <c r="I1028" s="2">
        <v>52</v>
      </c>
      <c r="J1028" s="2">
        <v>0</v>
      </c>
      <c r="K1028" s="2">
        <v>4.0999999999999996</v>
      </c>
      <c r="L1028" s="3">
        <f t="shared" si="48"/>
        <v>0.31467208520179374</v>
      </c>
      <c r="M1028" s="4">
        <f t="shared" si="49"/>
        <v>223</v>
      </c>
      <c r="N1028" s="2">
        <f t="shared" si="50"/>
        <v>16</v>
      </c>
    </row>
    <row r="1029" spans="1:14" x14ac:dyDescent="0.25">
      <c r="A1029" s="5" t="s">
        <v>378</v>
      </c>
      <c r="B1029" s="5" t="s">
        <v>371</v>
      </c>
      <c r="C1029" s="5" t="s">
        <v>31</v>
      </c>
      <c r="D1029" s="5" t="s">
        <v>18</v>
      </c>
      <c r="E1029" s="5">
        <v>177</v>
      </c>
      <c r="F1029" s="5">
        <v>72039</v>
      </c>
      <c r="G1029" s="5">
        <v>29051</v>
      </c>
      <c r="H1029" s="5">
        <v>6</v>
      </c>
      <c r="I1029" s="5">
        <v>66</v>
      </c>
      <c r="J1029" s="5">
        <v>0</v>
      </c>
      <c r="K1029" s="5">
        <v>3.5</v>
      </c>
      <c r="L1029" s="6">
        <f t="shared" si="48"/>
        <v>0.40326767445411515</v>
      </c>
      <c r="M1029" s="7">
        <f t="shared" si="49"/>
        <v>407</v>
      </c>
      <c r="N1029" s="5">
        <f t="shared" si="50"/>
        <v>29.5</v>
      </c>
    </row>
    <row r="1030" spans="1:14" x14ac:dyDescent="0.25">
      <c r="A1030" s="2" t="s">
        <v>378</v>
      </c>
      <c r="B1030" s="2" t="s">
        <v>371</v>
      </c>
      <c r="C1030" s="2" t="s">
        <v>31</v>
      </c>
      <c r="D1030" s="2" t="s">
        <v>19</v>
      </c>
      <c r="E1030" s="2">
        <v>115</v>
      </c>
      <c r="F1030" s="2">
        <v>29555</v>
      </c>
      <c r="G1030" s="2">
        <v>12068</v>
      </c>
      <c r="H1030" s="2">
        <v>5</v>
      </c>
      <c r="I1030" s="2">
        <v>64</v>
      </c>
      <c r="J1030" s="2">
        <v>3</v>
      </c>
      <c r="K1030" s="2">
        <v>4</v>
      </c>
      <c r="L1030" s="3">
        <f t="shared" si="48"/>
        <v>0.40832346472678061</v>
      </c>
      <c r="M1030" s="4">
        <f t="shared" si="49"/>
        <v>257</v>
      </c>
      <c r="N1030" s="2">
        <f t="shared" si="50"/>
        <v>23</v>
      </c>
    </row>
    <row r="1031" spans="1:14" x14ac:dyDescent="0.25">
      <c r="A1031" s="5" t="s">
        <v>379</v>
      </c>
      <c r="B1031" s="5" t="s">
        <v>371</v>
      </c>
      <c r="C1031" s="5" t="s">
        <v>16</v>
      </c>
      <c r="D1031" s="5" t="s">
        <v>17</v>
      </c>
      <c r="E1031" s="5">
        <v>45</v>
      </c>
      <c r="F1031" s="5">
        <v>12465</v>
      </c>
      <c r="G1031" s="5">
        <v>4276</v>
      </c>
      <c r="H1031" s="5">
        <v>4</v>
      </c>
      <c r="I1031" s="5">
        <v>43</v>
      </c>
      <c r="J1031" s="5">
        <v>2</v>
      </c>
      <c r="K1031" s="5">
        <v>4.2</v>
      </c>
      <c r="L1031" s="6">
        <f t="shared" si="48"/>
        <v>0.34304051343762537</v>
      </c>
      <c r="M1031" s="7">
        <f t="shared" si="49"/>
        <v>277</v>
      </c>
      <c r="N1031" s="5">
        <f t="shared" si="50"/>
        <v>11.25</v>
      </c>
    </row>
    <row r="1032" spans="1:14" x14ac:dyDescent="0.25">
      <c r="A1032" s="2" t="s">
        <v>379</v>
      </c>
      <c r="B1032" s="2" t="s">
        <v>371</v>
      </c>
      <c r="C1032" s="2" t="s">
        <v>16</v>
      </c>
      <c r="D1032" s="2" t="s">
        <v>18</v>
      </c>
      <c r="E1032" s="2">
        <v>74</v>
      </c>
      <c r="F1032" s="2">
        <v>35002</v>
      </c>
      <c r="G1032" s="2">
        <v>12692</v>
      </c>
      <c r="H1032" s="2">
        <v>10</v>
      </c>
      <c r="I1032" s="2">
        <v>47</v>
      </c>
      <c r="J1032" s="2">
        <v>3</v>
      </c>
      <c r="K1032" s="2">
        <v>4.8</v>
      </c>
      <c r="L1032" s="3">
        <f t="shared" si="48"/>
        <v>0.36260785097994402</v>
      </c>
      <c r="M1032" s="4">
        <f t="shared" si="49"/>
        <v>473</v>
      </c>
      <c r="N1032" s="2">
        <f t="shared" si="50"/>
        <v>7.4</v>
      </c>
    </row>
    <row r="1033" spans="1:14" x14ac:dyDescent="0.25">
      <c r="A1033" s="5" t="s">
        <v>379</v>
      </c>
      <c r="B1033" s="5" t="s">
        <v>371</v>
      </c>
      <c r="C1033" s="5" t="s">
        <v>16</v>
      </c>
      <c r="D1033" s="5" t="s">
        <v>19</v>
      </c>
      <c r="E1033" s="5">
        <v>33</v>
      </c>
      <c r="F1033" s="5">
        <v>9438</v>
      </c>
      <c r="G1033" s="5">
        <v>3254</v>
      </c>
      <c r="H1033" s="5">
        <v>6</v>
      </c>
      <c r="I1033" s="5">
        <v>64</v>
      </c>
      <c r="J1033" s="5">
        <v>3</v>
      </c>
      <c r="K1033" s="5">
        <v>3.9</v>
      </c>
      <c r="L1033" s="6">
        <f t="shared" si="48"/>
        <v>0.34477643568552657</v>
      </c>
      <c r="M1033" s="7">
        <f t="shared" si="49"/>
        <v>286</v>
      </c>
      <c r="N1033" s="5">
        <f t="shared" si="50"/>
        <v>5.5</v>
      </c>
    </row>
    <row r="1034" spans="1:14" x14ac:dyDescent="0.25">
      <c r="A1034" s="2" t="s">
        <v>380</v>
      </c>
      <c r="B1034" s="2" t="s">
        <v>371</v>
      </c>
      <c r="C1034" s="2" t="s">
        <v>21</v>
      </c>
      <c r="D1034" s="2" t="s">
        <v>17</v>
      </c>
      <c r="E1034" s="2">
        <v>17</v>
      </c>
      <c r="F1034" s="2">
        <v>3502</v>
      </c>
      <c r="G1034" s="2">
        <v>1378</v>
      </c>
      <c r="H1034" s="2">
        <v>3</v>
      </c>
      <c r="I1034" s="2">
        <v>40</v>
      </c>
      <c r="J1034" s="2">
        <v>0</v>
      </c>
      <c r="K1034" s="2">
        <v>4</v>
      </c>
      <c r="L1034" s="3">
        <f t="shared" si="48"/>
        <v>0.39348943460879499</v>
      </c>
      <c r="M1034" s="4">
        <f t="shared" si="49"/>
        <v>206</v>
      </c>
      <c r="N1034" s="2">
        <f t="shared" si="50"/>
        <v>5.666666666666667</v>
      </c>
    </row>
    <row r="1035" spans="1:14" x14ac:dyDescent="0.25">
      <c r="A1035" s="5" t="s">
        <v>380</v>
      </c>
      <c r="B1035" s="5" t="s">
        <v>371</v>
      </c>
      <c r="C1035" s="5" t="s">
        <v>21</v>
      </c>
      <c r="D1035" s="5" t="s">
        <v>18</v>
      </c>
      <c r="E1035" s="5">
        <v>102</v>
      </c>
      <c r="F1035" s="5">
        <v>44676</v>
      </c>
      <c r="G1035" s="5">
        <v>18069</v>
      </c>
      <c r="H1035" s="5">
        <v>8</v>
      </c>
      <c r="I1035" s="5">
        <v>52</v>
      </c>
      <c r="J1035" s="5">
        <v>2</v>
      </c>
      <c r="K1035" s="5">
        <v>3.8</v>
      </c>
      <c r="L1035" s="6">
        <f t="shared" si="48"/>
        <v>0.4044453397797475</v>
      </c>
      <c r="M1035" s="7">
        <f t="shared" si="49"/>
        <v>438</v>
      </c>
      <c r="N1035" s="5">
        <f t="shared" si="50"/>
        <v>12.75</v>
      </c>
    </row>
    <row r="1036" spans="1:14" x14ac:dyDescent="0.25">
      <c r="A1036" s="2" t="s">
        <v>380</v>
      </c>
      <c r="B1036" s="2" t="s">
        <v>371</v>
      </c>
      <c r="C1036" s="2" t="s">
        <v>21</v>
      </c>
      <c r="D1036" s="2" t="s">
        <v>19</v>
      </c>
      <c r="E1036" s="2">
        <v>62</v>
      </c>
      <c r="F1036" s="2">
        <v>19468</v>
      </c>
      <c r="G1036" s="2">
        <v>6455</v>
      </c>
      <c r="H1036" s="2">
        <v>6</v>
      </c>
      <c r="I1036" s="2">
        <v>57</v>
      </c>
      <c r="J1036" s="2">
        <v>0</v>
      </c>
      <c r="K1036" s="2">
        <v>3.7</v>
      </c>
      <c r="L1036" s="3">
        <f t="shared" si="48"/>
        <v>0.33156975549619888</v>
      </c>
      <c r="M1036" s="4">
        <f t="shared" si="49"/>
        <v>314</v>
      </c>
      <c r="N1036" s="2">
        <f t="shared" si="50"/>
        <v>10.333333333333334</v>
      </c>
    </row>
    <row r="1037" spans="1:14" x14ac:dyDescent="0.25">
      <c r="A1037" s="5" t="s">
        <v>381</v>
      </c>
      <c r="B1037" s="5" t="s">
        <v>371</v>
      </c>
      <c r="C1037" s="5" t="s">
        <v>23</v>
      </c>
      <c r="D1037" s="5" t="s">
        <v>17</v>
      </c>
      <c r="E1037" s="5">
        <v>23</v>
      </c>
      <c r="F1037" s="5">
        <v>4416</v>
      </c>
      <c r="G1037" s="5">
        <v>1601</v>
      </c>
      <c r="H1037" s="5">
        <v>5</v>
      </c>
      <c r="I1037" s="5">
        <v>47</v>
      </c>
      <c r="J1037" s="5">
        <v>1</v>
      </c>
      <c r="K1037" s="5">
        <v>4.5</v>
      </c>
      <c r="L1037" s="6">
        <f t="shared" si="48"/>
        <v>0.36254528985507245</v>
      </c>
      <c r="M1037" s="7">
        <f t="shared" si="49"/>
        <v>192</v>
      </c>
      <c r="N1037" s="5">
        <f t="shared" si="50"/>
        <v>4.5999999999999996</v>
      </c>
    </row>
    <row r="1038" spans="1:14" x14ac:dyDescent="0.25">
      <c r="A1038" s="2" t="s">
        <v>381</v>
      </c>
      <c r="B1038" s="2" t="s">
        <v>371</v>
      </c>
      <c r="C1038" s="2" t="s">
        <v>23</v>
      </c>
      <c r="D1038" s="2" t="s">
        <v>18</v>
      </c>
      <c r="E1038" s="2">
        <v>80</v>
      </c>
      <c r="F1038" s="2">
        <v>33520</v>
      </c>
      <c r="G1038" s="2">
        <v>12292</v>
      </c>
      <c r="H1038" s="2">
        <v>6</v>
      </c>
      <c r="I1038" s="2">
        <v>56</v>
      </c>
      <c r="J1038" s="2">
        <v>0</v>
      </c>
      <c r="K1038" s="2">
        <v>4.8</v>
      </c>
      <c r="L1038" s="3">
        <f t="shared" si="48"/>
        <v>0.36670644391408114</v>
      </c>
      <c r="M1038" s="4">
        <f t="shared" si="49"/>
        <v>419</v>
      </c>
      <c r="N1038" s="2">
        <f t="shared" si="50"/>
        <v>13.333333333333334</v>
      </c>
    </row>
    <row r="1039" spans="1:14" x14ac:dyDescent="0.25">
      <c r="A1039" s="5" t="s">
        <v>381</v>
      </c>
      <c r="B1039" s="5" t="s">
        <v>371</v>
      </c>
      <c r="C1039" s="5" t="s">
        <v>23</v>
      </c>
      <c r="D1039" s="5" t="s">
        <v>19</v>
      </c>
      <c r="E1039" s="5">
        <v>27</v>
      </c>
      <c r="F1039" s="5">
        <v>8019</v>
      </c>
      <c r="G1039" s="5">
        <v>2501</v>
      </c>
      <c r="H1039" s="5">
        <v>4</v>
      </c>
      <c r="I1039" s="5">
        <v>43</v>
      </c>
      <c r="J1039" s="5">
        <v>0</v>
      </c>
      <c r="K1039" s="5">
        <v>4.4000000000000004</v>
      </c>
      <c r="L1039" s="6">
        <f t="shared" si="48"/>
        <v>0.3118842748472378</v>
      </c>
      <c r="M1039" s="7">
        <f t="shared" si="49"/>
        <v>297</v>
      </c>
      <c r="N1039" s="5">
        <f t="shared" si="50"/>
        <v>6.75</v>
      </c>
    </row>
    <row r="1040" spans="1:14" x14ac:dyDescent="0.25">
      <c r="A1040" s="2" t="s">
        <v>382</v>
      </c>
      <c r="B1040" s="2" t="s">
        <v>371</v>
      </c>
      <c r="C1040" s="2" t="s">
        <v>25</v>
      </c>
      <c r="D1040" s="2" t="s">
        <v>17</v>
      </c>
      <c r="E1040" s="2">
        <v>52</v>
      </c>
      <c r="F1040" s="2">
        <v>10504</v>
      </c>
      <c r="G1040" s="2">
        <v>4033</v>
      </c>
      <c r="H1040" s="2">
        <v>4</v>
      </c>
      <c r="I1040" s="2">
        <v>49</v>
      </c>
      <c r="J1040" s="2">
        <v>2</v>
      </c>
      <c r="K1040" s="2">
        <v>4.4000000000000004</v>
      </c>
      <c r="L1040" s="3">
        <f t="shared" si="48"/>
        <v>0.38394897182025894</v>
      </c>
      <c r="M1040" s="4">
        <f t="shared" si="49"/>
        <v>202</v>
      </c>
      <c r="N1040" s="2">
        <f t="shared" si="50"/>
        <v>13</v>
      </c>
    </row>
    <row r="1041" spans="1:14" x14ac:dyDescent="0.25">
      <c r="A1041" s="5" t="s">
        <v>382</v>
      </c>
      <c r="B1041" s="5" t="s">
        <v>371</v>
      </c>
      <c r="C1041" s="5" t="s">
        <v>25</v>
      </c>
      <c r="D1041" s="5" t="s">
        <v>18</v>
      </c>
      <c r="E1041" s="5">
        <v>107</v>
      </c>
      <c r="F1041" s="5">
        <v>35952</v>
      </c>
      <c r="G1041" s="5">
        <v>11450</v>
      </c>
      <c r="H1041" s="5">
        <v>8</v>
      </c>
      <c r="I1041" s="5">
        <v>64</v>
      </c>
      <c r="J1041" s="5">
        <v>0</v>
      </c>
      <c r="K1041" s="5">
        <v>3.5</v>
      </c>
      <c r="L1041" s="6">
        <f t="shared" si="48"/>
        <v>0.31848019581664444</v>
      </c>
      <c r="M1041" s="7">
        <f t="shared" si="49"/>
        <v>336</v>
      </c>
      <c r="N1041" s="5">
        <f t="shared" si="50"/>
        <v>13.375</v>
      </c>
    </row>
    <row r="1042" spans="1:14" x14ac:dyDescent="0.25">
      <c r="A1042" s="2" t="s">
        <v>382</v>
      </c>
      <c r="B1042" s="2" t="s">
        <v>371</v>
      </c>
      <c r="C1042" s="2" t="s">
        <v>25</v>
      </c>
      <c r="D1042" s="2" t="s">
        <v>19</v>
      </c>
      <c r="E1042" s="2">
        <v>34</v>
      </c>
      <c r="F1042" s="2">
        <v>7616</v>
      </c>
      <c r="G1042" s="2">
        <v>2455</v>
      </c>
      <c r="H1042" s="2">
        <v>4</v>
      </c>
      <c r="I1042" s="2">
        <v>40</v>
      </c>
      <c r="J1042" s="2">
        <v>3</v>
      </c>
      <c r="K1042" s="2">
        <v>3.9</v>
      </c>
      <c r="L1042" s="3">
        <f t="shared" si="48"/>
        <v>0.32234768907563027</v>
      </c>
      <c r="M1042" s="4">
        <f t="shared" si="49"/>
        <v>224</v>
      </c>
      <c r="N1042" s="2">
        <f t="shared" si="50"/>
        <v>8.5</v>
      </c>
    </row>
    <row r="1043" spans="1:14" x14ac:dyDescent="0.25">
      <c r="A1043" s="5" t="s">
        <v>383</v>
      </c>
      <c r="B1043" s="5" t="s">
        <v>371</v>
      </c>
      <c r="C1043" s="5" t="s">
        <v>27</v>
      </c>
      <c r="D1043" s="5" t="s">
        <v>17</v>
      </c>
      <c r="E1043" s="5">
        <v>28</v>
      </c>
      <c r="F1043" s="5">
        <v>5712</v>
      </c>
      <c r="G1043" s="5">
        <v>1956</v>
      </c>
      <c r="H1043" s="5">
        <v>4</v>
      </c>
      <c r="I1043" s="5">
        <v>39</v>
      </c>
      <c r="J1043" s="5">
        <v>0</v>
      </c>
      <c r="K1043" s="5">
        <v>4.3</v>
      </c>
      <c r="L1043" s="6">
        <f t="shared" si="48"/>
        <v>0.34243697478991597</v>
      </c>
      <c r="M1043" s="7">
        <f t="shared" si="49"/>
        <v>204</v>
      </c>
      <c r="N1043" s="5">
        <f t="shared" si="50"/>
        <v>7</v>
      </c>
    </row>
    <row r="1044" spans="1:14" x14ac:dyDescent="0.25">
      <c r="A1044" s="2" t="s">
        <v>383</v>
      </c>
      <c r="B1044" s="2" t="s">
        <v>371</v>
      </c>
      <c r="C1044" s="2" t="s">
        <v>27</v>
      </c>
      <c r="D1044" s="2" t="s">
        <v>18</v>
      </c>
      <c r="E1044" s="2">
        <v>82</v>
      </c>
      <c r="F1044" s="2">
        <v>35096</v>
      </c>
      <c r="G1044" s="2">
        <v>9969</v>
      </c>
      <c r="H1044" s="2">
        <v>6</v>
      </c>
      <c r="I1044" s="2">
        <v>49</v>
      </c>
      <c r="J1044" s="2">
        <v>4</v>
      </c>
      <c r="K1044" s="2">
        <v>4</v>
      </c>
      <c r="L1044" s="3">
        <f t="shared" si="48"/>
        <v>0.28404946432641898</v>
      </c>
      <c r="M1044" s="4">
        <f t="shared" si="49"/>
        <v>428</v>
      </c>
      <c r="N1044" s="2">
        <f t="shared" si="50"/>
        <v>13.666666666666666</v>
      </c>
    </row>
    <row r="1045" spans="1:14" x14ac:dyDescent="0.25">
      <c r="A1045" s="5" t="s">
        <v>383</v>
      </c>
      <c r="B1045" s="5" t="s">
        <v>371</v>
      </c>
      <c r="C1045" s="5" t="s">
        <v>27</v>
      </c>
      <c r="D1045" s="5" t="s">
        <v>19</v>
      </c>
      <c r="E1045" s="5">
        <v>62</v>
      </c>
      <c r="F1045" s="5">
        <v>13392</v>
      </c>
      <c r="G1045" s="5">
        <v>5173</v>
      </c>
      <c r="H1045" s="5">
        <v>4</v>
      </c>
      <c r="I1045" s="5">
        <v>43</v>
      </c>
      <c r="J1045" s="5">
        <v>2</v>
      </c>
      <c r="K1045" s="5">
        <v>3.6</v>
      </c>
      <c r="L1045" s="6">
        <f t="shared" si="48"/>
        <v>0.38627538829151731</v>
      </c>
      <c r="M1045" s="7">
        <f t="shared" si="49"/>
        <v>216</v>
      </c>
      <c r="N1045" s="5">
        <f t="shared" si="50"/>
        <v>15.5</v>
      </c>
    </row>
    <row r="1046" spans="1:14" x14ac:dyDescent="0.25">
      <c r="A1046" s="2" t="s">
        <v>384</v>
      </c>
      <c r="B1046" s="2" t="s">
        <v>371</v>
      </c>
      <c r="C1046" s="2" t="s">
        <v>29</v>
      </c>
      <c r="D1046" s="2" t="s">
        <v>17</v>
      </c>
      <c r="E1046" s="2">
        <v>94</v>
      </c>
      <c r="F1046" s="2">
        <v>17014</v>
      </c>
      <c r="G1046" s="2">
        <v>5528</v>
      </c>
      <c r="H1046" s="2">
        <v>4</v>
      </c>
      <c r="I1046" s="2">
        <v>46</v>
      </c>
      <c r="J1046" s="2">
        <v>0</v>
      </c>
      <c r="K1046" s="2">
        <v>4.0999999999999996</v>
      </c>
      <c r="L1046" s="3">
        <f t="shared" si="48"/>
        <v>0.32490889855413191</v>
      </c>
      <c r="M1046" s="4">
        <f t="shared" si="49"/>
        <v>181</v>
      </c>
      <c r="N1046" s="2">
        <f t="shared" si="50"/>
        <v>23.5</v>
      </c>
    </row>
    <row r="1047" spans="1:14" x14ac:dyDescent="0.25">
      <c r="A1047" s="5" t="s">
        <v>384</v>
      </c>
      <c r="B1047" s="5" t="s">
        <v>371</v>
      </c>
      <c r="C1047" s="5" t="s">
        <v>29</v>
      </c>
      <c r="D1047" s="5" t="s">
        <v>18</v>
      </c>
      <c r="E1047" s="5">
        <v>109</v>
      </c>
      <c r="F1047" s="5">
        <v>46107</v>
      </c>
      <c r="G1047" s="5">
        <v>16672</v>
      </c>
      <c r="H1047" s="5">
        <v>7</v>
      </c>
      <c r="I1047" s="5">
        <v>64</v>
      </c>
      <c r="J1047" s="5">
        <v>4</v>
      </c>
      <c r="K1047" s="5">
        <v>4.5999999999999996</v>
      </c>
      <c r="L1047" s="6">
        <f t="shared" si="48"/>
        <v>0.36159368425618671</v>
      </c>
      <c r="M1047" s="7">
        <f t="shared" si="49"/>
        <v>423</v>
      </c>
      <c r="N1047" s="5">
        <f t="shared" si="50"/>
        <v>15.571428571428571</v>
      </c>
    </row>
    <row r="1048" spans="1:14" x14ac:dyDescent="0.25">
      <c r="A1048" s="2" t="s">
        <v>384</v>
      </c>
      <c r="B1048" s="2" t="s">
        <v>371</v>
      </c>
      <c r="C1048" s="2" t="s">
        <v>29</v>
      </c>
      <c r="D1048" s="2" t="s">
        <v>19</v>
      </c>
      <c r="E1048" s="2">
        <v>78</v>
      </c>
      <c r="F1048" s="2">
        <v>17550</v>
      </c>
      <c r="G1048" s="2">
        <v>5507</v>
      </c>
      <c r="H1048" s="2">
        <v>6</v>
      </c>
      <c r="I1048" s="2">
        <v>56</v>
      </c>
      <c r="J1048" s="2">
        <v>0</v>
      </c>
      <c r="K1048" s="2">
        <v>4.2</v>
      </c>
      <c r="L1048" s="3">
        <f t="shared" si="48"/>
        <v>0.31378917378917381</v>
      </c>
      <c r="M1048" s="4">
        <f t="shared" si="49"/>
        <v>225</v>
      </c>
      <c r="N1048" s="2">
        <f t="shared" si="50"/>
        <v>13</v>
      </c>
    </row>
    <row r="1049" spans="1:14" x14ac:dyDescent="0.25">
      <c r="A1049" s="5" t="s">
        <v>385</v>
      </c>
      <c r="B1049" s="5" t="s">
        <v>371</v>
      </c>
      <c r="C1049" s="5" t="s">
        <v>31</v>
      </c>
      <c r="D1049" s="5" t="s">
        <v>17</v>
      </c>
      <c r="E1049" s="5">
        <v>56</v>
      </c>
      <c r="F1049" s="5">
        <v>10416</v>
      </c>
      <c r="G1049" s="5">
        <v>3661</v>
      </c>
      <c r="H1049" s="5">
        <v>3</v>
      </c>
      <c r="I1049" s="5">
        <v>51</v>
      </c>
      <c r="J1049" s="5">
        <v>0</v>
      </c>
      <c r="K1049" s="5">
        <v>4.3</v>
      </c>
      <c r="L1049" s="6">
        <f t="shared" si="48"/>
        <v>0.35147849462365593</v>
      </c>
      <c r="M1049" s="7">
        <f t="shared" si="49"/>
        <v>186</v>
      </c>
      <c r="N1049" s="5">
        <f t="shared" si="50"/>
        <v>18.666666666666668</v>
      </c>
    </row>
    <row r="1050" spans="1:14" x14ac:dyDescent="0.25">
      <c r="A1050" s="2" t="s">
        <v>385</v>
      </c>
      <c r="B1050" s="2" t="s">
        <v>371</v>
      </c>
      <c r="C1050" s="2" t="s">
        <v>31</v>
      </c>
      <c r="D1050" s="2" t="s">
        <v>18</v>
      </c>
      <c r="E1050" s="2">
        <v>164</v>
      </c>
      <c r="F1050" s="2">
        <v>76424</v>
      </c>
      <c r="G1050" s="2">
        <v>24060</v>
      </c>
      <c r="H1050" s="2">
        <v>10</v>
      </c>
      <c r="I1050" s="2">
        <v>67</v>
      </c>
      <c r="J1050" s="2">
        <v>4</v>
      </c>
      <c r="K1050" s="2">
        <v>4.8</v>
      </c>
      <c r="L1050" s="3">
        <f t="shared" si="48"/>
        <v>0.31482256882654663</v>
      </c>
      <c r="M1050" s="4">
        <f t="shared" si="49"/>
        <v>466</v>
      </c>
      <c r="N1050" s="2">
        <f t="shared" si="50"/>
        <v>16.399999999999999</v>
      </c>
    </row>
    <row r="1051" spans="1:14" x14ac:dyDescent="0.25">
      <c r="A1051" s="5" t="s">
        <v>385</v>
      </c>
      <c r="B1051" s="5" t="s">
        <v>371</v>
      </c>
      <c r="C1051" s="5" t="s">
        <v>31</v>
      </c>
      <c r="D1051" s="5" t="s">
        <v>19</v>
      </c>
      <c r="E1051" s="5">
        <v>113</v>
      </c>
      <c r="F1051" s="5">
        <v>23843</v>
      </c>
      <c r="G1051" s="5">
        <v>9456</v>
      </c>
      <c r="H1051" s="5">
        <v>7</v>
      </c>
      <c r="I1051" s="5">
        <v>53</v>
      </c>
      <c r="J1051" s="5">
        <v>2</v>
      </c>
      <c r="K1051" s="5">
        <v>4.0999999999999996</v>
      </c>
      <c r="L1051" s="6">
        <f t="shared" si="48"/>
        <v>0.39659438829006416</v>
      </c>
      <c r="M1051" s="7">
        <f t="shared" si="49"/>
        <v>211</v>
      </c>
      <c r="N1051" s="5">
        <f t="shared" si="50"/>
        <v>16.142857142857142</v>
      </c>
    </row>
    <row r="1052" spans="1:14" x14ac:dyDescent="0.25">
      <c r="A1052" s="2" t="s">
        <v>386</v>
      </c>
      <c r="B1052" s="2" t="s">
        <v>371</v>
      </c>
      <c r="C1052" s="2" t="s">
        <v>16</v>
      </c>
      <c r="D1052" s="2" t="s">
        <v>17</v>
      </c>
      <c r="E1052" s="2">
        <v>34</v>
      </c>
      <c r="F1052" s="2">
        <v>9418</v>
      </c>
      <c r="G1052" s="2">
        <v>3048</v>
      </c>
      <c r="H1052" s="2">
        <v>5</v>
      </c>
      <c r="I1052" s="2">
        <v>51</v>
      </c>
      <c r="J1052" s="2">
        <v>2</v>
      </c>
      <c r="K1052" s="2">
        <v>4.2</v>
      </c>
      <c r="L1052" s="3">
        <f t="shared" si="48"/>
        <v>0.32363559142068382</v>
      </c>
      <c r="M1052" s="4">
        <f t="shared" si="49"/>
        <v>277</v>
      </c>
      <c r="N1052" s="2">
        <f t="shared" si="50"/>
        <v>6.8</v>
      </c>
    </row>
    <row r="1053" spans="1:14" x14ac:dyDescent="0.25">
      <c r="A1053" s="5" t="s">
        <v>386</v>
      </c>
      <c r="B1053" s="5" t="s">
        <v>371</v>
      </c>
      <c r="C1053" s="5" t="s">
        <v>16</v>
      </c>
      <c r="D1053" s="5" t="s">
        <v>18</v>
      </c>
      <c r="E1053" s="5">
        <v>107</v>
      </c>
      <c r="F1053" s="5">
        <v>32314</v>
      </c>
      <c r="G1053" s="5">
        <v>11890</v>
      </c>
      <c r="H1053" s="5">
        <v>10</v>
      </c>
      <c r="I1053" s="5">
        <v>60</v>
      </c>
      <c r="J1053" s="5">
        <v>3</v>
      </c>
      <c r="K1053" s="5">
        <v>3.6</v>
      </c>
      <c r="L1053" s="6">
        <f t="shared" si="48"/>
        <v>0.36795197128179735</v>
      </c>
      <c r="M1053" s="7">
        <f t="shared" si="49"/>
        <v>302</v>
      </c>
      <c r="N1053" s="5">
        <f t="shared" si="50"/>
        <v>10.7</v>
      </c>
    </row>
    <row r="1054" spans="1:14" x14ac:dyDescent="0.25">
      <c r="A1054" s="2" t="s">
        <v>386</v>
      </c>
      <c r="B1054" s="2" t="s">
        <v>371</v>
      </c>
      <c r="C1054" s="2" t="s">
        <v>16</v>
      </c>
      <c r="D1054" s="2" t="s">
        <v>19</v>
      </c>
      <c r="E1054" s="2">
        <v>30</v>
      </c>
      <c r="F1054" s="2">
        <v>8940</v>
      </c>
      <c r="G1054" s="2">
        <v>3442</v>
      </c>
      <c r="H1054" s="2">
        <v>5</v>
      </c>
      <c r="I1054" s="2">
        <v>51</v>
      </c>
      <c r="J1054" s="2">
        <v>1</v>
      </c>
      <c r="K1054" s="2">
        <v>3.9</v>
      </c>
      <c r="L1054" s="3">
        <f t="shared" si="48"/>
        <v>0.38501118568232662</v>
      </c>
      <c r="M1054" s="4">
        <f t="shared" si="49"/>
        <v>298</v>
      </c>
      <c r="N1054" s="2">
        <f t="shared" si="50"/>
        <v>6</v>
      </c>
    </row>
    <row r="1055" spans="1:14" x14ac:dyDescent="0.25">
      <c r="A1055" s="5" t="s">
        <v>387</v>
      </c>
      <c r="B1055" s="5" t="s">
        <v>371</v>
      </c>
      <c r="C1055" s="5" t="s">
        <v>21</v>
      </c>
      <c r="D1055" s="5" t="s">
        <v>17</v>
      </c>
      <c r="E1055" s="5">
        <v>47</v>
      </c>
      <c r="F1055" s="5">
        <v>10622</v>
      </c>
      <c r="G1055" s="5">
        <v>4207</v>
      </c>
      <c r="H1055" s="5">
        <v>3</v>
      </c>
      <c r="I1055" s="5">
        <v>48</v>
      </c>
      <c r="J1055" s="5">
        <v>1</v>
      </c>
      <c r="K1055" s="5">
        <v>3.9</v>
      </c>
      <c r="L1055" s="6">
        <f t="shared" si="48"/>
        <v>0.3960647712295236</v>
      </c>
      <c r="M1055" s="7">
        <f t="shared" si="49"/>
        <v>226</v>
      </c>
      <c r="N1055" s="5">
        <f t="shared" si="50"/>
        <v>15.666666666666666</v>
      </c>
    </row>
    <row r="1056" spans="1:14" x14ac:dyDescent="0.25">
      <c r="A1056" s="2" t="s">
        <v>387</v>
      </c>
      <c r="B1056" s="2" t="s">
        <v>371</v>
      </c>
      <c r="C1056" s="2" t="s">
        <v>21</v>
      </c>
      <c r="D1056" s="2" t="s">
        <v>18</v>
      </c>
      <c r="E1056" s="2">
        <v>59</v>
      </c>
      <c r="F1056" s="2">
        <v>23246</v>
      </c>
      <c r="G1056" s="2">
        <v>7858</v>
      </c>
      <c r="H1056" s="2">
        <v>8</v>
      </c>
      <c r="I1056" s="2">
        <v>47</v>
      </c>
      <c r="J1056" s="2">
        <v>4</v>
      </c>
      <c r="K1056" s="2">
        <v>3.8</v>
      </c>
      <c r="L1056" s="3">
        <f t="shared" si="48"/>
        <v>0.33803665146691902</v>
      </c>
      <c r="M1056" s="4">
        <f t="shared" si="49"/>
        <v>394</v>
      </c>
      <c r="N1056" s="2">
        <f t="shared" si="50"/>
        <v>7.375</v>
      </c>
    </row>
    <row r="1057" spans="1:14" x14ac:dyDescent="0.25">
      <c r="A1057" s="5" t="s">
        <v>387</v>
      </c>
      <c r="B1057" s="5" t="s">
        <v>371</v>
      </c>
      <c r="C1057" s="5" t="s">
        <v>21</v>
      </c>
      <c r="D1057" s="5" t="s">
        <v>19</v>
      </c>
      <c r="E1057" s="5">
        <v>62</v>
      </c>
      <c r="F1057" s="5">
        <v>15624</v>
      </c>
      <c r="G1057" s="5">
        <v>5643</v>
      </c>
      <c r="H1057" s="5">
        <v>6</v>
      </c>
      <c r="I1057" s="5">
        <v>65</v>
      </c>
      <c r="J1057" s="5">
        <v>0</v>
      </c>
      <c r="K1057" s="5">
        <v>4.4000000000000004</v>
      </c>
      <c r="L1057" s="6">
        <f t="shared" si="48"/>
        <v>0.36117511520737328</v>
      </c>
      <c r="M1057" s="7">
        <f t="shared" si="49"/>
        <v>252</v>
      </c>
      <c r="N1057" s="5">
        <f t="shared" si="50"/>
        <v>10.333333333333334</v>
      </c>
    </row>
    <row r="1058" spans="1:14" x14ac:dyDescent="0.25">
      <c r="A1058" s="2" t="s">
        <v>388</v>
      </c>
      <c r="B1058" s="2" t="s">
        <v>371</v>
      </c>
      <c r="C1058" s="2" t="s">
        <v>23</v>
      </c>
      <c r="D1058" s="2" t="s">
        <v>17</v>
      </c>
      <c r="E1058" s="2">
        <v>53</v>
      </c>
      <c r="F1058" s="2">
        <v>9858</v>
      </c>
      <c r="G1058" s="2">
        <v>2840</v>
      </c>
      <c r="H1058" s="2">
        <v>3</v>
      </c>
      <c r="I1058" s="2">
        <v>36</v>
      </c>
      <c r="J1058" s="2">
        <v>2</v>
      </c>
      <c r="K1058" s="2">
        <v>4.4000000000000004</v>
      </c>
      <c r="L1058" s="3">
        <f t="shared" si="48"/>
        <v>0.28809089064719012</v>
      </c>
      <c r="M1058" s="4">
        <f t="shared" si="49"/>
        <v>186</v>
      </c>
      <c r="N1058" s="2">
        <f t="shared" si="50"/>
        <v>17.666666666666668</v>
      </c>
    </row>
    <row r="1059" spans="1:14" x14ac:dyDescent="0.25">
      <c r="A1059" s="5" t="s">
        <v>388</v>
      </c>
      <c r="B1059" s="5" t="s">
        <v>371</v>
      </c>
      <c r="C1059" s="5" t="s">
        <v>23</v>
      </c>
      <c r="D1059" s="5" t="s">
        <v>18</v>
      </c>
      <c r="E1059" s="5">
        <v>131</v>
      </c>
      <c r="F1059" s="5">
        <v>59998</v>
      </c>
      <c r="G1059" s="5">
        <v>19458</v>
      </c>
      <c r="H1059" s="5">
        <v>7</v>
      </c>
      <c r="I1059" s="5">
        <v>45</v>
      </c>
      <c r="J1059" s="5">
        <v>0</v>
      </c>
      <c r="K1059" s="5">
        <v>3.7</v>
      </c>
      <c r="L1059" s="6">
        <f t="shared" si="48"/>
        <v>0.32431081036034537</v>
      </c>
      <c r="M1059" s="7">
        <f t="shared" si="49"/>
        <v>458</v>
      </c>
      <c r="N1059" s="5">
        <f t="shared" si="50"/>
        <v>18.714285714285715</v>
      </c>
    </row>
    <row r="1060" spans="1:14" x14ac:dyDescent="0.25">
      <c r="A1060" s="2" t="s">
        <v>388</v>
      </c>
      <c r="B1060" s="2" t="s">
        <v>371</v>
      </c>
      <c r="C1060" s="2" t="s">
        <v>23</v>
      </c>
      <c r="D1060" s="2" t="s">
        <v>19</v>
      </c>
      <c r="E1060" s="2">
        <v>51</v>
      </c>
      <c r="F1060" s="2">
        <v>17136</v>
      </c>
      <c r="G1060" s="2">
        <v>7180</v>
      </c>
      <c r="H1060" s="2">
        <v>5</v>
      </c>
      <c r="I1060" s="2">
        <v>56</v>
      </c>
      <c r="J1060" s="2">
        <v>0</v>
      </c>
      <c r="K1060" s="2">
        <v>4.5</v>
      </c>
      <c r="L1060" s="3">
        <f t="shared" si="48"/>
        <v>0.41900093370681607</v>
      </c>
      <c r="M1060" s="4">
        <f t="shared" si="49"/>
        <v>336</v>
      </c>
      <c r="N1060" s="2">
        <f t="shared" si="50"/>
        <v>10.199999999999999</v>
      </c>
    </row>
    <row r="1061" spans="1:14" x14ac:dyDescent="0.25">
      <c r="A1061" s="5" t="s">
        <v>389</v>
      </c>
      <c r="B1061" s="5" t="s">
        <v>371</v>
      </c>
      <c r="C1061" s="5" t="s">
        <v>25</v>
      </c>
      <c r="D1061" s="5" t="s">
        <v>17</v>
      </c>
      <c r="E1061" s="5">
        <v>47</v>
      </c>
      <c r="F1061" s="5">
        <v>13019</v>
      </c>
      <c r="G1061" s="5">
        <v>3717</v>
      </c>
      <c r="H1061" s="5">
        <v>3</v>
      </c>
      <c r="I1061" s="5">
        <v>51</v>
      </c>
      <c r="J1061" s="5">
        <v>0</v>
      </c>
      <c r="K1061" s="5">
        <v>3.9</v>
      </c>
      <c r="L1061" s="6">
        <f t="shared" si="48"/>
        <v>0.28550579921652969</v>
      </c>
      <c r="M1061" s="7">
        <f t="shared" si="49"/>
        <v>277</v>
      </c>
      <c r="N1061" s="5">
        <f t="shared" si="50"/>
        <v>15.666666666666666</v>
      </c>
    </row>
    <row r="1062" spans="1:14" x14ac:dyDescent="0.25">
      <c r="A1062" s="2" t="s">
        <v>389</v>
      </c>
      <c r="B1062" s="2" t="s">
        <v>371</v>
      </c>
      <c r="C1062" s="2" t="s">
        <v>25</v>
      </c>
      <c r="D1062" s="2" t="s">
        <v>18</v>
      </c>
      <c r="E1062" s="2">
        <v>117</v>
      </c>
      <c r="F1062" s="2">
        <v>37908</v>
      </c>
      <c r="G1062" s="2">
        <v>15579</v>
      </c>
      <c r="H1062" s="2">
        <v>8</v>
      </c>
      <c r="I1062" s="2">
        <v>73</v>
      </c>
      <c r="J1062" s="2">
        <v>3</v>
      </c>
      <c r="K1062" s="2">
        <v>4.4000000000000004</v>
      </c>
      <c r="L1062" s="3">
        <f t="shared" si="48"/>
        <v>0.41096866096866097</v>
      </c>
      <c r="M1062" s="4">
        <f t="shared" si="49"/>
        <v>324</v>
      </c>
      <c r="N1062" s="2">
        <f t="shared" si="50"/>
        <v>14.625</v>
      </c>
    </row>
    <row r="1063" spans="1:14" x14ac:dyDescent="0.25">
      <c r="A1063" s="5" t="s">
        <v>389</v>
      </c>
      <c r="B1063" s="5" t="s">
        <v>371</v>
      </c>
      <c r="C1063" s="5" t="s">
        <v>25</v>
      </c>
      <c r="D1063" s="5" t="s">
        <v>19</v>
      </c>
      <c r="E1063" s="5">
        <v>62</v>
      </c>
      <c r="F1063" s="5">
        <v>16492</v>
      </c>
      <c r="G1063" s="5">
        <v>5827</v>
      </c>
      <c r="H1063" s="5">
        <v>5</v>
      </c>
      <c r="I1063" s="5">
        <v>42</v>
      </c>
      <c r="J1063" s="5">
        <v>0</v>
      </c>
      <c r="K1063" s="5">
        <v>4.2</v>
      </c>
      <c r="L1063" s="6">
        <f t="shared" si="48"/>
        <v>0.35332282318699976</v>
      </c>
      <c r="M1063" s="7">
        <f t="shared" si="49"/>
        <v>266</v>
      </c>
      <c r="N1063" s="5">
        <f t="shared" si="50"/>
        <v>12.4</v>
      </c>
    </row>
    <row r="1064" spans="1:14" x14ac:dyDescent="0.25">
      <c r="A1064" s="2" t="s">
        <v>390</v>
      </c>
      <c r="B1064" s="2" t="s">
        <v>371</v>
      </c>
      <c r="C1064" s="2" t="s">
        <v>27</v>
      </c>
      <c r="D1064" s="2" t="s">
        <v>17</v>
      </c>
      <c r="E1064" s="2">
        <v>28</v>
      </c>
      <c r="F1064" s="2">
        <v>5124</v>
      </c>
      <c r="G1064" s="2">
        <v>1907</v>
      </c>
      <c r="H1064" s="2">
        <v>5</v>
      </c>
      <c r="I1064" s="2">
        <v>36</v>
      </c>
      <c r="J1064" s="2">
        <v>0</v>
      </c>
      <c r="K1064" s="2">
        <v>3.9</v>
      </c>
      <c r="L1064" s="3">
        <f t="shared" si="48"/>
        <v>0.37217017954722875</v>
      </c>
      <c r="M1064" s="4">
        <f t="shared" si="49"/>
        <v>183</v>
      </c>
      <c r="N1064" s="2">
        <f t="shared" si="50"/>
        <v>5.6</v>
      </c>
    </row>
    <row r="1065" spans="1:14" x14ac:dyDescent="0.25">
      <c r="A1065" s="5" t="s">
        <v>390</v>
      </c>
      <c r="B1065" s="5" t="s">
        <v>371</v>
      </c>
      <c r="C1065" s="5" t="s">
        <v>27</v>
      </c>
      <c r="D1065" s="5" t="s">
        <v>18</v>
      </c>
      <c r="E1065" s="5">
        <v>194</v>
      </c>
      <c r="F1065" s="5">
        <v>86136</v>
      </c>
      <c r="G1065" s="5">
        <v>32028</v>
      </c>
      <c r="H1065" s="5">
        <v>8</v>
      </c>
      <c r="I1065" s="5">
        <v>65</v>
      </c>
      <c r="J1065" s="5">
        <v>0</v>
      </c>
      <c r="K1065" s="5">
        <v>4.7</v>
      </c>
      <c r="L1065" s="6">
        <f t="shared" si="48"/>
        <v>0.37183059348007802</v>
      </c>
      <c r="M1065" s="7">
        <f t="shared" si="49"/>
        <v>444</v>
      </c>
      <c r="N1065" s="5">
        <f t="shared" si="50"/>
        <v>24.25</v>
      </c>
    </row>
    <row r="1066" spans="1:14" x14ac:dyDescent="0.25">
      <c r="A1066" s="2" t="s">
        <v>390</v>
      </c>
      <c r="B1066" s="2" t="s">
        <v>371</v>
      </c>
      <c r="C1066" s="2" t="s">
        <v>27</v>
      </c>
      <c r="D1066" s="2" t="s">
        <v>19</v>
      </c>
      <c r="E1066" s="2">
        <v>109</v>
      </c>
      <c r="F1066" s="2">
        <v>35316</v>
      </c>
      <c r="G1066" s="2">
        <v>10005</v>
      </c>
      <c r="H1066" s="2">
        <v>6</v>
      </c>
      <c r="I1066" s="2">
        <v>61</v>
      </c>
      <c r="J1066" s="2">
        <v>2</v>
      </c>
      <c r="K1066" s="2">
        <v>4.5</v>
      </c>
      <c r="L1066" s="3">
        <f t="shared" si="48"/>
        <v>0.28329935440027182</v>
      </c>
      <c r="M1066" s="4">
        <f t="shared" si="49"/>
        <v>324</v>
      </c>
      <c r="N1066" s="2">
        <f t="shared" si="50"/>
        <v>18.166666666666668</v>
      </c>
    </row>
    <row r="1067" spans="1:14" x14ac:dyDescent="0.25">
      <c r="A1067" s="5" t="s">
        <v>391</v>
      </c>
      <c r="B1067" s="5" t="s">
        <v>371</v>
      </c>
      <c r="C1067" s="5" t="s">
        <v>29</v>
      </c>
      <c r="D1067" s="5" t="s">
        <v>17</v>
      </c>
      <c r="E1067" s="5">
        <v>75</v>
      </c>
      <c r="F1067" s="5">
        <v>20550</v>
      </c>
      <c r="G1067" s="5">
        <v>6651</v>
      </c>
      <c r="H1067" s="5">
        <v>5</v>
      </c>
      <c r="I1067" s="5">
        <v>46</v>
      </c>
      <c r="J1067" s="5">
        <v>2</v>
      </c>
      <c r="K1067" s="5">
        <v>4.4000000000000004</v>
      </c>
      <c r="L1067" s="6">
        <f t="shared" si="48"/>
        <v>0.32364963503649635</v>
      </c>
      <c r="M1067" s="7">
        <f t="shared" si="49"/>
        <v>274</v>
      </c>
      <c r="N1067" s="5">
        <f t="shared" si="50"/>
        <v>15</v>
      </c>
    </row>
    <row r="1068" spans="1:14" x14ac:dyDescent="0.25">
      <c r="A1068" s="2" t="s">
        <v>391</v>
      </c>
      <c r="B1068" s="2" t="s">
        <v>371</v>
      </c>
      <c r="C1068" s="2" t="s">
        <v>29</v>
      </c>
      <c r="D1068" s="2" t="s">
        <v>18</v>
      </c>
      <c r="E1068" s="2">
        <v>215</v>
      </c>
      <c r="F1068" s="2">
        <v>101050</v>
      </c>
      <c r="G1068" s="2">
        <v>41240</v>
      </c>
      <c r="H1068" s="2">
        <v>8</v>
      </c>
      <c r="I1068" s="2">
        <v>68</v>
      </c>
      <c r="J1068" s="2">
        <v>1</v>
      </c>
      <c r="K1068" s="2">
        <v>4.4000000000000004</v>
      </c>
      <c r="L1068" s="3">
        <f t="shared" si="48"/>
        <v>0.40811479465611084</v>
      </c>
      <c r="M1068" s="4">
        <f t="shared" si="49"/>
        <v>470</v>
      </c>
      <c r="N1068" s="2">
        <f t="shared" si="50"/>
        <v>26.875</v>
      </c>
    </row>
    <row r="1069" spans="1:14" x14ac:dyDescent="0.25">
      <c r="A1069" s="5" t="s">
        <v>391</v>
      </c>
      <c r="B1069" s="5" t="s">
        <v>371</v>
      </c>
      <c r="C1069" s="5" t="s">
        <v>29</v>
      </c>
      <c r="D1069" s="5" t="s">
        <v>19</v>
      </c>
      <c r="E1069" s="5">
        <v>77</v>
      </c>
      <c r="F1069" s="5">
        <v>15708</v>
      </c>
      <c r="G1069" s="5">
        <v>5097</v>
      </c>
      <c r="H1069" s="5">
        <v>6</v>
      </c>
      <c r="I1069" s="5">
        <v>50</v>
      </c>
      <c r="J1069" s="5">
        <v>3</v>
      </c>
      <c r="K1069" s="5">
        <v>3.8</v>
      </c>
      <c r="L1069" s="6">
        <f t="shared" si="48"/>
        <v>0.32448433919022152</v>
      </c>
      <c r="M1069" s="7">
        <f t="shared" si="49"/>
        <v>204</v>
      </c>
      <c r="N1069" s="5">
        <f t="shared" si="50"/>
        <v>12.833333333333334</v>
      </c>
    </row>
    <row r="1070" spans="1:14" x14ac:dyDescent="0.25">
      <c r="A1070" s="2" t="s">
        <v>392</v>
      </c>
      <c r="B1070" s="2" t="s">
        <v>371</v>
      </c>
      <c r="C1070" s="2" t="s">
        <v>31</v>
      </c>
      <c r="D1070" s="2" t="s">
        <v>17</v>
      </c>
      <c r="E1070" s="2">
        <v>68</v>
      </c>
      <c r="F1070" s="2">
        <v>17408</v>
      </c>
      <c r="G1070" s="2">
        <v>5314</v>
      </c>
      <c r="H1070" s="2">
        <v>5</v>
      </c>
      <c r="I1070" s="2">
        <v>38</v>
      </c>
      <c r="J1070" s="2">
        <v>2</v>
      </c>
      <c r="K1070" s="2">
        <v>4.0999999999999996</v>
      </c>
      <c r="L1070" s="3">
        <f t="shared" si="48"/>
        <v>0.30526194852941174</v>
      </c>
      <c r="M1070" s="4">
        <f t="shared" si="49"/>
        <v>256</v>
      </c>
      <c r="N1070" s="2">
        <f t="shared" si="50"/>
        <v>13.6</v>
      </c>
    </row>
    <row r="1071" spans="1:14" x14ac:dyDescent="0.25">
      <c r="A1071" s="5" t="s">
        <v>392</v>
      </c>
      <c r="B1071" s="5" t="s">
        <v>371</v>
      </c>
      <c r="C1071" s="5" t="s">
        <v>31</v>
      </c>
      <c r="D1071" s="5" t="s">
        <v>18</v>
      </c>
      <c r="E1071" s="5">
        <v>121</v>
      </c>
      <c r="F1071" s="5">
        <v>49005</v>
      </c>
      <c r="G1071" s="5">
        <v>19949</v>
      </c>
      <c r="H1071" s="5">
        <v>10</v>
      </c>
      <c r="I1071" s="5">
        <v>61</v>
      </c>
      <c r="J1071" s="5">
        <v>4</v>
      </c>
      <c r="K1071" s="5">
        <v>4.5</v>
      </c>
      <c r="L1071" s="6">
        <f t="shared" si="48"/>
        <v>0.40708091011121317</v>
      </c>
      <c r="M1071" s="7">
        <f t="shared" si="49"/>
        <v>405</v>
      </c>
      <c r="N1071" s="5">
        <f t="shared" si="50"/>
        <v>12.1</v>
      </c>
    </row>
    <row r="1072" spans="1:14" x14ac:dyDescent="0.25">
      <c r="A1072" s="2" t="s">
        <v>392</v>
      </c>
      <c r="B1072" s="2" t="s">
        <v>371</v>
      </c>
      <c r="C1072" s="2" t="s">
        <v>31</v>
      </c>
      <c r="D1072" s="2" t="s">
        <v>19</v>
      </c>
      <c r="E1072" s="2">
        <v>67</v>
      </c>
      <c r="F1072" s="2">
        <v>20971</v>
      </c>
      <c r="G1072" s="2">
        <v>5963</v>
      </c>
      <c r="H1072" s="2">
        <v>7</v>
      </c>
      <c r="I1072" s="2">
        <v>40</v>
      </c>
      <c r="J1072" s="2">
        <v>3</v>
      </c>
      <c r="K1072" s="2">
        <v>3.7</v>
      </c>
      <c r="L1072" s="3">
        <f t="shared" si="48"/>
        <v>0.28434504792332266</v>
      </c>
      <c r="M1072" s="4">
        <f t="shared" si="49"/>
        <v>313</v>
      </c>
      <c r="N1072" s="2">
        <f t="shared" si="50"/>
        <v>9.5714285714285712</v>
      </c>
    </row>
    <row r="1073" spans="1:14" x14ac:dyDescent="0.25">
      <c r="A1073" s="5" t="s">
        <v>393</v>
      </c>
      <c r="B1073" s="5" t="s">
        <v>371</v>
      </c>
      <c r="C1073" s="5" t="s">
        <v>16</v>
      </c>
      <c r="D1073" s="5" t="s">
        <v>17</v>
      </c>
      <c r="E1073" s="5">
        <v>21</v>
      </c>
      <c r="F1073" s="5">
        <v>4137</v>
      </c>
      <c r="G1073" s="5">
        <v>1353</v>
      </c>
      <c r="H1073" s="5">
        <v>4</v>
      </c>
      <c r="I1073" s="5">
        <v>41</v>
      </c>
      <c r="J1073" s="5">
        <v>2</v>
      </c>
      <c r="K1073" s="5">
        <v>4.5</v>
      </c>
      <c r="L1073" s="6">
        <f t="shared" si="48"/>
        <v>0.32704858593183467</v>
      </c>
      <c r="M1073" s="7">
        <f t="shared" si="49"/>
        <v>197</v>
      </c>
      <c r="N1073" s="5">
        <f t="shared" si="50"/>
        <v>5.25</v>
      </c>
    </row>
    <row r="1074" spans="1:14" x14ac:dyDescent="0.25">
      <c r="A1074" s="2" t="s">
        <v>393</v>
      </c>
      <c r="B1074" s="2" t="s">
        <v>371</v>
      </c>
      <c r="C1074" s="2" t="s">
        <v>16</v>
      </c>
      <c r="D1074" s="2" t="s">
        <v>18</v>
      </c>
      <c r="E1074" s="2">
        <v>56</v>
      </c>
      <c r="F1074" s="2">
        <v>19880</v>
      </c>
      <c r="G1074" s="2">
        <v>6210</v>
      </c>
      <c r="H1074" s="2">
        <v>10</v>
      </c>
      <c r="I1074" s="2">
        <v>74</v>
      </c>
      <c r="J1074" s="2">
        <v>4</v>
      </c>
      <c r="K1074" s="2">
        <v>4.5999999999999996</v>
      </c>
      <c r="L1074" s="3">
        <f t="shared" si="48"/>
        <v>0.31237424547283704</v>
      </c>
      <c r="M1074" s="4">
        <f t="shared" si="49"/>
        <v>355</v>
      </c>
      <c r="N1074" s="2">
        <f t="shared" si="50"/>
        <v>5.6</v>
      </c>
    </row>
    <row r="1075" spans="1:14" x14ac:dyDescent="0.25">
      <c r="A1075" s="5" t="s">
        <v>393</v>
      </c>
      <c r="B1075" s="5" t="s">
        <v>371</v>
      </c>
      <c r="C1075" s="5" t="s">
        <v>16</v>
      </c>
      <c r="D1075" s="5" t="s">
        <v>19</v>
      </c>
      <c r="E1075" s="5">
        <v>62</v>
      </c>
      <c r="F1075" s="5">
        <v>13702</v>
      </c>
      <c r="G1075" s="5">
        <v>5269</v>
      </c>
      <c r="H1075" s="5">
        <v>5</v>
      </c>
      <c r="I1075" s="5">
        <v>47</v>
      </c>
      <c r="J1075" s="5">
        <v>2</v>
      </c>
      <c r="K1075" s="5">
        <v>4.2</v>
      </c>
      <c r="L1075" s="6">
        <f t="shared" si="48"/>
        <v>0.38454240256896804</v>
      </c>
      <c r="M1075" s="7">
        <f t="shared" si="49"/>
        <v>221</v>
      </c>
      <c r="N1075" s="5">
        <f t="shared" si="50"/>
        <v>12.4</v>
      </c>
    </row>
    <row r="1076" spans="1:14" x14ac:dyDescent="0.25">
      <c r="A1076" s="2" t="s">
        <v>394</v>
      </c>
      <c r="B1076" s="2" t="s">
        <v>371</v>
      </c>
      <c r="C1076" s="2" t="s">
        <v>21</v>
      </c>
      <c r="D1076" s="2" t="s">
        <v>17</v>
      </c>
      <c r="E1076" s="2">
        <v>18</v>
      </c>
      <c r="F1076" s="2">
        <v>4122</v>
      </c>
      <c r="G1076" s="2">
        <v>1366</v>
      </c>
      <c r="H1076" s="2">
        <v>4</v>
      </c>
      <c r="I1076" s="2">
        <v>43</v>
      </c>
      <c r="J1076" s="2">
        <v>2</v>
      </c>
      <c r="K1076" s="2">
        <v>4.0999999999999996</v>
      </c>
      <c r="L1076" s="3">
        <f t="shared" si="48"/>
        <v>0.33139252789907814</v>
      </c>
      <c r="M1076" s="4">
        <f t="shared" si="49"/>
        <v>229</v>
      </c>
      <c r="N1076" s="2">
        <f t="shared" si="50"/>
        <v>4.5</v>
      </c>
    </row>
    <row r="1077" spans="1:14" x14ac:dyDescent="0.25">
      <c r="A1077" s="5" t="s">
        <v>394</v>
      </c>
      <c r="B1077" s="5" t="s">
        <v>371</v>
      </c>
      <c r="C1077" s="5" t="s">
        <v>21</v>
      </c>
      <c r="D1077" s="5" t="s">
        <v>18</v>
      </c>
      <c r="E1077" s="5">
        <v>74</v>
      </c>
      <c r="F1077" s="5">
        <v>27454</v>
      </c>
      <c r="G1077" s="5">
        <v>11003</v>
      </c>
      <c r="H1077" s="5">
        <v>9</v>
      </c>
      <c r="I1077" s="5">
        <v>68</v>
      </c>
      <c r="J1077" s="5">
        <v>0</v>
      </c>
      <c r="K1077" s="5">
        <v>3.7</v>
      </c>
      <c r="L1077" s="6">
        <f t="shared" si="48"/>
        <v>0.40077948568514604</v>
      </c>
      <c r="M1077" s="7">
        <f t="shared" si="49"/>
        <v>371</v>
      </c>
      <c r="N1077" s="5">
        <f t="shared" si="50"/>
        <v>8.2222222222222214</v>
      </c>
    </row>
    <row r="1078" spans="1:14" x14ac:dyDescent="0.25">
      <c r="A1078" s="2" t="s">
        <v>394</v>
      </c>
      <c r="B1078" s="2" t="s">
        <v>371</v>
      </c>
      <c r="C1078" s="2" t="s">
        <v>21</v>
      </c>
      <c r="D1078" s="2" t="s">
        <v>19</v>
      </c>
      <c r="E1078" s="2">
        <v>47</v>
      </c>
      <c r="F1078" s="2">
        <v>11797</v>
      </c>
      <c r="G1078" s="2">
        <v>4149</v>
      </c>
      <c r="H1078" s="2">
        <v>5</v>
      </c>
      <c r="I1078" s="2">
        <v>65</v>
      </c>
      <c r="J1078" s="2">
        <v>2</v>
      </c>
      <c r="K1078" s="2">
        <v>4</v>
      </c>
      <c r="L1078" s="3">
        <f t="shared" si="48"/>
        <v>0.35169958464016277</v>
      </c>
      <c r="M1078" s="4">
        <f t="shared" si="49"/>
        <v>251</v>
      </c>
      <c r="N1078" s="2">
        <f t="shared" si="50"/>
        <v>9.4</v>
      </c>
    </row>
    <row r="1079" spans="1:14" x14ac:dyDescent="0.25">
      <c r="A1079" s="5" t="s">
        <v>395</v>
      </c>
      <c r="B1079" s="5" t="s">
        <v>371</v>
      </c>
      <c r="C1079" s="5" t="s">
        <v>23</v>
      </c>
      <c r="D1079" s="5" t="s">
        <v>17</v>
      </c>
      <c r="E1079" s="5">
        <v>46</v>
      </c>
      <c r="F1079" s="5">
        <v>12420</v>
      </c>
      <c r="G1079" s="5">
        <v>5155</v>
      </c>
      <c r="H1079" s="5">
        <v>3</v>
      </c>
      <c r="I1079" s="5">
        <v>52</v>
      </c>
      <c r="J1079" s="5">
        <v>0</v>
      </c>
      <c r="K1079" s="5">
        <v>4</v>
      </c>
      <c r="L1079" s="6">
        <f t="shared" si="48"/>
        <v>0.41505636070853463</v>
      </c>
      <c r="M1079" s="7">
        <f t="shared" si="49"/>
        <v>270</v>
      </c>
      <c r="N1079" s="5">
        <f t="shared" si="50"/>
        <v>15.333333333333334</v>
      </c>
    </row>
    <row r="1080" spans="1:14" x14ac:dyDescent="0.25">
      <c r="A1080" s="2" t="s">
        <v>395</v>
      </c>
      <c r="B1080" s="2" t="s">
        <v>371</v>
      </c>
      <c r="C1080" s="2" t="s">
        <v>23</v>
      </c>
      <c r="D1080" s="2" t="s">
        <v>18</v>
      </c>
      <c r="E1080" s="2">
        <v>109</v>
      </c>
      <c r="F1080" s="2">
        <v>36733</v>
      </c>
      <c r="G1080" s="2">
        <v>11660</v>
      </c>
      <c r="H1080" s="2">
        <v>7</v>
      </c>
      <c r="I1080" s="2">
        <v>56</v>
      </c>
      <c r="J1080" s="2">
        <v>0</v>
      </c>
      <c r="K1080" s="2">
        <v>3.5</v>
      </c>
      <c r="L1080" s="3">
        <f t="shared" si="48"/>
        <v>0.31742574796504508</v>
      </c>
      <c r="M1080" s="4">
        <f t="shared" si="49"/>
        <v>337</v>
      </c>
      <c r="N1080" s="2">
        <f t="shared" si="50"/>
        <v>15.571428571428571</v>
      </c>
    </row>
    <row r="1081" spans="1:14" x14ac:dyDescent="0.25">
      <c r="A1081" s="5" t="s">
        <v>395</v>
      </c>
      <c r="B1081" s="5" t="s">
        <v>371</v>
      </c>
      <c r="C1081" s="5" t="s">
        <v>23</v>
      </c>
      <c r="D1081" s="5" t="s">
        <v>19</v>
      </c>
      <c r="E1081" s="5">
        <v>46</v>
      </c>
      <c r="F1081" s="5">
        <v>11500</v>
      </c>
      <c r="G1081" s="5">
        <v>4125</v>
      </c>
      <c r="H1081" s="5">
        <v>4</v>
      </c>
      <c r="I1081" s="5">
        <v>60</v>
      </c>
      <c r="J1081" s="5">
        <v>2</v>
      </c>
      <c r="K1081" s="5">
        <v>4.3</v>
      </c>
      <c r="L1081" s="6">
        <f t="shared" si="48"/>
        <v>0.35869565217391303</v>
      </c>
      <c r="M1081" s="7">
        <f t="shared" si="49"/>
        <v>250</v>
      </c>
      <c r="N1081" s="5">
        <f t="shared" si="50"/>
        <v>11.5</v>
      </c>
    </row>
    <row r="1082" spans="1:14" x14ac:dyDescent="0.25">
      <c r="A1082" s="2" t="s">
        <v>396</v>
      </c>
      <c r="B1082" s="2" t="s">
        <v>371</v>
      </c>
      <c r="C1082" s="2" t="s">
        <v>25</v>
      </c>
      <c r="D1082" s="2" t="s">
        <v>17</v>
      </c>
      <c r="E1082" s="2">
        <v>46</v>
      </c>
      <c r="F1082" s="2">
        <v>11408</v>
      </c>
      <c r="G1082" s="2">
        <v>4137</v>
      </c>
      <c r="H1082" s="2">
        <v>3</v>
      </c>
      <c r="I1082" s="2">
        <v>49</v>
      </c>
      <c r="J1082" s="2">
        <v>2</v>
      </c>
      <c r="K1082" s="2">
        <v>4.2</v>
      </c>
      <c r="L1082" s="3">
        <f t="shared" si="48"/>
        <v>0.36264025245441794</v>
      </c>
      <c r="M1082" s="4">
        <f t="shared" si="49"/>
        <v>248</v>
      </c>
      <c r="N1082" s="2">
        <f t="shared" si="50"/>
        <v>15.333333333333334</v>
      </c>
    </row>
    <row r="1083" spans="1:14" x14ac:dyDescent="0.25">
      <c r="A1083" s="5" t="s">
        <v>396</v>
      </c>
      <c r="B1083" s="5" t="s">
        <v>371</v>
      </c>
      <c r="C1083" s="5" t="s">
        <v>25</v>
      </c>
      <c r="D1083" s="5" t="s">
        <v>18</v>
      </c>
      <c r="E1083" s="5">
        <v>104</v>
      </c>
      <c r="F1083" s="5">
        <v>34320</v>
      </c>
      <c r="G1083" s="5">
        <v>9700</v>
      </c>
      <c r="H1083" s="5">
        <v>10</v>
      </c>
      <c r="I1083" s="5">
        <v>56</v>
      </c>
      <c r="J1083" s="5">
        <v>2</v>
      </c>
      <c r="K1083" s="5">
        <v>4.2</v>
      </c>
      <c r="L1083" s="6">
        <f t="shared" si="48"/>
        <v>0.28263403263403264</v>
      </c>
      <c r="M1083" s="7">
        <f t="shared" si="49"/>
        <v>330</v>
      </c>
      <c r="N1083" s="5">
        <f t="shared" si="50"/>
        <v>10.4</v>
      </c>
    </row>
    <row r="1084" spans="1:14" x14ac:dyDescent="0.25">
      <c r="A1084" s="2" t="s">
        <v>396</v>
      </c>
      <c r="B1084" s="2" t="s">
        <v>371</v>
      </c>
      <c r="C1084" s="2" t="s">
        <v>25</v>
      </c>
      <c r="D1084" s="2" t="s">
        <v>19</v>
      </c>
      <c r="E1084" s="2">
        <v>59</v>
      </c>
      <c r="F1084" s="2">
        <v>17818</v>
      </c>
      <c r="G1084" s="2">
        <v>5674</v>
      </c>
      <c r="H1084" s="2">
        <v>4</v>
      </c>
      <c r="I1084" s="2">
        <v>41</v>
      </c>
      <c r="J1084" s="2">
        <v>1</v>
      </c>
      <c r="K1084" s="2">
        <v>3.8</v>
      </c>
      <c r="L1084" s="3">
        <f t="shared" si="48"/>
        <v>0.31844202491862161</v>
      </c>
      <c r="M1084" s="4">
        <f t="shared" si="49"/>
        <v>302</v>
      </c>
      <c r="N1084" s="2">
        <f t="shared" si="50"/>
        <v>14.75</v>
      </c>
    </row>
    <row r="1085" spans="1:14" x14ac:dyDescent="0.25">
      <c r="A1085" s="5" t="s">
        <v>397</v>
      </c>
      <c r="B1085" s="5" t="s">
        <v>371</v>
      </c>
      <c r="C1085" s="5" t="s">
        <v>27</v>
      </c>
      <c r="D1085" s="5" t="s">
        <v>17</v>
      </c>
      <c r="E1085" s="5">
        <v>30</v>
      </c>
      <c r="F1085" s="5">
        <v>6390</v>
      </c>
      <c r="G1085" s="5">
        <v>2500</v>
      </c>
      <c r="H1085" s="5">
        <v>4</v>
      </c>
      <c r="I1085" s="5">
        <v>38</v>
      </c>
      <c r="J1085" s="5">
        <v>2</v>
      </c>
      <c r="K1085" s="5">
        <v>3.9</v>
      </c>
      <c r="L1085" s="6">
        <f t="shared" si="48"/>
        <v>0.39123630672926446</v>
      </c>
      <c r="M1085" s="7">
        <f t="shared" si="49"/>
        <v>213</v>
      </c>
      <c r="N1085" s="5">
        <f t="shared" si="50"/>
        <v>7.5</v>
      </c>
    </row>
    <row r="1086" spans="1:14" x14ac:dyDescent="0.25">
      <c r="A1086" s="2" t="s">
        <v>397</v>
      </c>
      <c r="B1086" s="2" t="s">
        <v>371</v>
      </c>
      <c r="C1086" s="2" t="s">
        <v>27</v>
      </c>
      <c r="D1086" s="2" t="s">
        <v>18</v>
      </c>
      <c r="E1086" s="2">
        <v>124</v>
      </c>
      <c r="F1086" s="2">
        <v>53940</v>
      </c>
      <c r="G1086" s="2">
        <v>21879</v>
      </c>
      <c r="H1086" s="2">
        <v>10</v>
      </c>
      <c r="I1086" s="2">
        <v>72</v>
      </c>
      <c r="J1086" s="2">
        <v>0</v>
      </c>
      <c r="K1086" s="2">
        <v>4.5</v>
      </c>
      <c r="L1086" s="3">
        <f t="shared" si="48"/>
        <v>0.40561735261401555</v>
      </c>
      <c r="M1086" s="4">
        <f t="shared" si="49"/>
        <v>435</v>
      </c>
      <c r="N1086" s="2">
        <f t="shared" si="50"/>
        <v>12.4</v>
      </c>
    </row>
    <row r="1087" spans="1:14" x14ac:dyDescent="0.25">
      <c r="A1087" s="5" t="s">
        <v>397</v>
      </c>
      <c r="B1087" s="5" t="s">
        <v>371</v>
      </c>
      <c r="C1087" s="5" t="s">
        <v>27</v>
      </c>
      <c r="D1087" s="5" t="s">
        <v>19</v>
      </c>
      <c r="E1087" s="5">
        <v>78</v>
      </c>
      <c r="F1087" s="5">
        <v>22776</v>
      </c>
      <c r="G1087" s="5">
        <v>8896</v>
      </c>
      <c r="H1087" s="5">
        <v>7</v>
      </c>
      <c r="I1087" s="5">
        <v>58</v>
      </c>
      <c r="J1087" s="5">
        <v>3</v>
      </c>
      <c r="K1087" s="5">
        <v>3.8</v>
      </c>
      <c r="L1087" s="6">
        <f t="shared" si="48"/>
        <v>0.39058658236740429</v>
      </c>
      <c r="M1087" s="7">
        <f t="shared" si="49"/>
        <v>292</v>
      </c>
      <c r="N1087" s="5">
        <f t="shared" si="50"/>
        <v>11.142857142857142</v>
      </c>
    </row>
    <row r="1088" spans="1:14" x14ac:dyDescent="0.25">
      <c r="A1088" s="2" t="s">
        <v>398</v>
      </c>
      <c r="B1088" s="2" t="s">
        <v>371</v>
      </c>
      <c r="C1088" s="2" t="s">
        <v>29</v>
      </c>
      <c r="D1088" s="2" t="s">
        <v>17</v>
      </c>
      <c r="E1088" s="2">
        <v>90</v>
      </c>
      <c r="F1088" s="2">
        <v>17190</v>
      </c>
      <c r="G1088" s="2">
        <v>6540</v>
      </c>
      <c r="H1088" s="2">
        <v>3</v>
      </c>
      <c r="I1088" s="2">
        <v>41</v>
      </c>
      <c r="J1088" s="2">
        <v>2</v>
      </c>
      <c r="K1088" s="2">
        <v>3.8</v>
      </c>
      <c r="L1088" s="3">
        <f t="shared" si="48"/>
        <v>0.38045375218150085</v>
      </c>
      <c r="M1088" s="4">
        <f t="shared" si="49"/>
        <v>191</v>
      </c>
      <c r="N1088" s="2">
        <f t="shared" si="50"/>
        <v>30</v>
      </c>
    </row>
    <row r="1089" spans="1:14" x14ac:dyDescent="0.25">
      <c r="A1089" s="5" t="s">
        <v>398</v>
      </c>
      <c r="B1089" s="5" t="s">
        <v>371</v>
      </c>
      <c r="C1089" s="5" t="s">
        <v>29</v>
      </c>
      <c r="D1089" s="5" t="s">
        <v>18</v>
      </c>
      <c r="E1089" s="5">
        <v>115</v>
      </c>
      <c r="F1089" s="5">
        <v>43930</v>
      </c>
      <c r="G1089" s="5">
        <v>12552</v>
      </c>
      <c r="H1089" s="5">
        <v>6</v>
      </c>
      <c r="I1089" s="5">
        <v>52</v>
      </c>
      <c r="J1089" s="5">
        <v>1</v>
      </c>
      <c r="K1089" s="5">
        <v>4.3</v>
      </c>
      <c r="L1089" s="6">
        <f t="shared" si="48"/>
        <v>0.28572729342135217</v>
      </c>
      <c r="M1089" s="7">
        <f t="shared" si="49"/>
        <v>382</v>
      </c>
      <c r="N1089" s="5">
        <f t="shared" si="50"/>
        <v>19.166666666666668</v>
      </c>
    </row>
    <row r="1090" spans="1:14" x14ac:dyDescent="0.25">
      <c r="A1090" s="2" t="s">
        <v>398</v>
      </c>
      <c r="B1090" s="2" t="s">
        <v>371</v>
      </c>
      <c r="C1090" s="2" t="s">
        <v>29</v>
      </c>
      <c r="D1090" s="2" t="s">
        <v>19</v>
      </c>
      <c r="E1090" s="2">
        <v>122</v>
      </c>
      <c r="F1090" s="2">
        <v>33794</v>
      </c>
      <c r="G1090" s="2">
        <v>12622</v>
      </c>
      <c r="H1090" s="2">
        <v>4</v>
      </c>
      <c r="I1090" s="2">
        <v>49</v>
      </c>
      <c r="J1090" s="2">
        <v>1</v>
      </c>
      <c r="K1090" s="2">
        <v>3.7</v>
      </c>
      <c r="L1090" s="3">
        <f t="shared" ref="L1090:L1099" si="51">G1090/F1090</f>
        <v>0.37349825412795173</v>
      </c>
      <c r="M1090" s="4">
        <f t="shared" ref="M1090:M1099" si="52">F1090/E1090</f>
        <v>277</v>
      </c>
      <c r="N1090" s="2">
        <f t="shared" ref="N1090:N1099" si="53">E1090/H1090</f>
        <v>30.5</v>
      </c>
    </row>
    <row r="1091" spans="1:14" x14ac:dyDescent="0.25">
      <c r="A1091" s="5" t="s">
        <v>399</v>
      </c>
      <c r="B1091" s="5" t="s">
        <v>371</v>
      </c>
      <c r="C1091" s="5" t="s">
        <v>31</v>
      </c>
      <c r="D1091" s="5" t="s">
        <v>17</v>
      </c>
      <c r="E1091" s="5">
        <v>59</v>
      </c>
      <c r="F1091" s="5">
        <v>10915</v>
      </c>
      <c r="G1091" s="5">
        <v>3399</v>
      </c>
      <c r="H1091" s="5">
        <v>5</v>
      </c>
      <c r="I1091" s="5">
        <v>52</v>
      </c>
      <c r="J1091" s="5">
        <v>2</v>
      </c>
      <c r="K1091" s="5">
        <v>4</v>
      </c>
      <c r="L1091" s="6">
        <f t="shared" si="51"/>
        <v>0.31140632157581311</v>
      </c>
      <c r="M1091" s="7">
        <f t="shared" si="52"/>
        <v>185</v>
      </c>
      <c r="N1091" s="5">
        <f t="shared" si="53"/>
        <v>11.8</v>
      </c>
    </row>
    <row r="1092" spans="1:14" x14ac:dyDescent="0.25">
      <c r="A1092" s="2" t="s">
        <v>399</v>
      </c>
      <c r="B1092" s="2" t="s">
        <v>371</v>
      </c>
      <c r="C1092" s="2" t="s">
        <v>31</v>
      </c>
      <c r="D1092" s="2" t="s">
        <v>18</v>
      </c>
      <c r="E1092" s="2">
        <v>137</v>
      </c>
      <c r="F1092" s="2">
        <v>44114</v>
      </c>
      <c r="G1092" s="2">
        <v>12997</v>
      </c>
      <c r="H1092" s="2">
        <v>10</v>
      </c>
      <c r="I1092" s="2">
        <v>74</v>
      </c>
      <c r="J1092" s="2">
        <v>2</v>
      </c>
      <c r="K1092" s="2">
        <v>3.9</v>
      </c>
      <c r="L1092" s="3">
        <f t="shared" si="51"/>
        <v>0.29462302216983272</v>
      </c>
      <c r="M1092" s="4">
        <f t="shared" si="52"/>
        <v>322</v>
      </c>
      <c r="N1092" s="2">
        <f t="shared" si="53"/>
        <v>13.7</v>
      </c>
    </row>
    <row r="1093" spans="1:14" x14ac:dyDescent="0.25">
      <c r="A1093" s="5" t="s">
        <v>399</v>
      </c>
      <c r="B1093" s="5" t="s">
        <v>371</v>
      </c>
      <c r="C1093" s="5" t="s">
        <v>31</v>
      </c>
      <c r="D1093" s="5" t="s">
        <v>19</v>
      </c>
      <c r="E1093" s="5">
        <v>103</v>
      </c>
      <c r="F1093" s="5">
        <v>34814</v>
      </c>
      <c r="G1093" s="5">
        <v>11765</v>
      </c>
      <c r="H1093" s="5">
        <v>5</v>
      </c>
      <c r="I1093" s="5">
        <v>42</v>
      </c>
      <c r="J1093" s="5">
        <v>0</v>
      </c>
      <c r="K1093" s="5">
        <v>3.8</v>
      </c>
      <c r="L1093" s="6">
        <f t="shared" si="51"/>
        <v>0.33793876026885733</v>
      </c>
      <c r="M1093" s="7">
        <f t="shared" si="52"/>
        <v>338</v>
      </c>
      <c r="N1093" s="5">
        <f t="shared" si="53"/>
        <v>20.6</v>
      </c>
    </row>
    <row r="1094" spans="1:14" x14ac:dyDescent="0.25">
      <c r="A1094" s="2" t="s">
        <v>400</v>
      </c>
      <c r="B1094" s="2" t="s">
        <v>371</v>
      </c>
      <c r="C1094" s="2" t="s">
        <v>16</v>
      </c>
      <c r="D1094" s="2" t="s">
        <v>17</v>
      </c>
      <c r="E1094" s="2">
        <v>28</v>
      </c>
      <c r="F1094" s="2">
        <v>7420</v>
      </c>
      <c r="G1094" s="2">
        <v>2411</v>
      </c>
      <c r="H1094" s="2">
        <v>3</v>
      </c>
      <c r="I1094" s="2">
        <v>50</v>
      </c>
      <c r="J1094" s="2">
        <v>0</v>
      </c>
      <c r="K1094" s="2">
        <v>4.4000000000000004</v>
      </c>
      <c r="L1094" s="3">
        <f t="shared" si="51"/>
        <v>0.32493261455525607</v>
      </c>
      <c r="M1094" s="4">
        <f t="shared" si="52"/>
        <v>265</v>
      </c>
      <c r="N1094" s="2">
        <f t="shared" si="53"/>
        <v>9.3333333333333339</v>
      </c>
    </row>
    <row r="1095" spans="1:14" x14ac:dyDescent="0.25">
      <c r="A1095" s="5" t="s">
        <v>400</v>
      </c>
      <c r="B1095" s="5" t="s">
        <v>371</v>
      </c>
      <c r="C1095" s="5" t="s">
        <v>16</v>
      </c>
      <c r="D1095" s="5" t="s">
        <v>18</v>
      </c>
      <c r="E1095" s="5">
        <v>94</v>
      </c>
      <c r="F1095" s="5">
        <v>43428</v>
      </c>
      <c r="G1095" s="5">
        <v>13431</v>
      </c>
      <c r="H1095" s="5">
        <v>7</v>
      </c>
      <c r="I1095" s="5">
        <v>72</v>
      </c>
      <c r="J1095" s="5">
        <v>1</v>
      </c>
      <c r="K1095" s="5">
        <v>4.4000000000000004</v>
      </c>
      <c r="L1095" s="6">
        <f t="shared" si="51"/>
        <v>0.30927051671732525</v>
      </c>
      <c r="M1095" s="7">
        <f t="shared" si="52"/>
        <v>462</v>
      </c>
      <c r="N1095" s="5">
        <f t="shared" si="53"/>
        <v>13.428571428571429</v>
      </c>
    </row>
    <row r="1096" spans="1:14" x14ac:dyDescent="0.25">
      <c r="A1096" s="2" t="s">
        <v>400</v>
      </c>
      <c r="B1096" s="2" t="s">
        <v>371</v>
      </c>
      <c r="C1096" s="2" t="s">
        <v>16</v>
      </c>
      <c r="D1096" s="2" t="s">
        <v>19</v>
      </c>
      <c r="E1096" s="2">
        <v>30</v>
      </c>
      <c r="F1096" s="2">
        <v>6810</v>
      </c>
      <c r="G1096" s="2">
        <v>2826</v>
      </c>
      <c r="H1096" s="2">
        <v>6</v>
      </c>
      <c r="I1096" s="2">
        <v>42</v>
      </c>
      <c r="J1096" s="2">
        <v>1</v>
      </c>
      <c r="K1096" s="2">
        <v>4.2</v>
      </c>
      <c r="L1096" s="3">
        <f t="shared" si="51"/>
        <v>0.41497797356828192</v>
      </c>
      <c r="M1096" s="4">
        <f t="shared" si="52"/>
        <v>227</v>
      </c>
      <c r="N1096" s="2">
        <f t="shared" si="53"/>
        <v>5</v>
      </c>
    </row>
    <row r="1097" spans="1:14" x14ac:dyDescent="0.25">
      <c r="A1097" s="5" t="s">
        <v>401</v>
      </c>
      <c r="B1097" s="5" t="s">
        <v>371</v>
      </c>
      <c r="C1097" s="5" t="s">
        <v>21</v>
      </c>
      <c r="D1097" s="5" t="s">
        <v>17</v>
      </c>
      <c r="E1097" s="5">
        <v>37</v>
      </c>
      <c r="F1097" s="5">
        <v>9916</v>
      </c>
      <c r="G1097" s="5">
        <v>3324</v>
      </c>
      <c r="H1097" s="5">
        <v>3</v>
      </c>
      <c r="I1097" s="5">
        <v>54</v>
      </c>
      <c r="J1097" s="5">
        <v>1</v>
      </c>
      <c r="K1097" s="5">
        <v>4.2</v>
      </c>
      <c r="L1097" s="6">
        <f t="shared" si="51"/>
        <v>0.33521581282775315</v>
      </c>
      <c r="M1097" s="7">
        <f t="shared" si="52"/>
        <v>268</v>
      </c>
      <c r="N1097" s="5">
        <f t="shared" si="53"/>
        <v>12.333333333333334</v>
      </c>
    </row>
    <row r="1098" spans="1:14" x14ac:dyDescent="0.25">
      <c r="A1098" s="2" t="s">
        <v>401</v>
      </c>
      <c r="B1098" s="2" t="s">
        <v>371</v>
      </c>
      <c r="C1098" s="2" t="s">
        <v>21</v>
      </c>
      <c r="D1098" s="2" t="s">
        <v>18</v>
      </c>
      <c r="E1098" s="2">
        <v>110</v>
      </c>
      <c r="F1098" s="2">
        <v>48950</v>
      </c>
      <c r="G1098" s="2">
        <v>14805</v>
      </c>
      <c r="H1098" s="2">
        <v>6</v>
      </c>
      <c r="I1098" s="2">
        <v>62</v>
      </c>
      <c r="J1098" s="2">
        <v>4</v>
      </c>
      <c r="K1098" s="2">
        <v>3.9</v>
      </c>
      <c r="L1098" s="3">
        <f t="shared" si="51"/>
        <v>0.3024514811031665</v>
      </c>
      <c r="M1098" s="4">
        <f t="shared" si="52"/>
        <v>445</v>
      </c>
      <c r="N1098" s="2">
        <f t="shared" si="53"/>
        <v>18.333333333333332</v>
      </c>
    </row>
    <row r="1099" spans="1:14" x14ac:dyDescent="0.25">
      <c r="A1099" s="5" t="s">
        <v>401</v>
      </c>
      <c r="B1099" s="5" t="s">
        <v>371</v>
      </c>
      <c r="C1099" s="5" t="s">
        <v>21</v>
      </c>
      <c r="D1099" s="5" t="s">
        <v>19</v>
      </c>
      <c r="E1099" s="5">
        <v>33</v>
      </c>
      <c r="F1099" s="5">
        <v>8481</v>
      </c>
      <c r="G1099" s="5">
        <v>2583</v>
      </c>
      <c r="H1099" s="5">
        <v>6</v>
      </c>
      <c r="I1099" s="5">
        <v>40</v>
      </c>
      <c r="J1099" s="5">
        <v>1</v>
      </c>
      <c r="K1099" s="5">
        <v>4.5</v>
      </c>
      <c r="L1099" s="6">
        <f t="shared" si="51"/>
        <v>0.30456314113901661</v>
      </c>
      <c r="M1099" s="7">
        <f t="shared" si="52"/>
        <v>257</v>
      </c>
      <c r="N1099" s="5">
        <f t="shared" si="53"/>
        <v>5.5</v>
      </c>
    </row>
  </sheetData>
  <conditionalFormatting sqref="Q2:Q4">
    <cfRule type="containsText" dxfId="219" priority="1" operator="containsText" text="Critical">
      <formula>NOT(ISERROR(SEARCH("Critical",Q2)))</formula>
    </cfRule>
    <cfRule type="containsText" dxfId="218" priority="2" operator="containsText" text="Warning">
      <formula>NOT(ISERROR(SEARCH("Warning",Q2)))</formula>
    </cfRule>
    <cfRule type="containsText" dxfId="217" priority="3" operator="containsText" text="Healthy">
      <formula>NOT(ISERROR(SEARCH("Healthy",Q2)))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7B86-09AE-4EBC-B2FA-74BDC4985018}">
  <dimension ref="A1:K16"/>
  <sheetViews>
    <sheetView workbookViewId="0">
      <selection activeCell="J19" sqref="J19"/>
    </sheetView>
  </sheetViews>
  <sheetFormatPr defaultRowHeight="15" x14ac:dyDescent="0.25"/>
  <cols>
    <col min="1" max="1" width="9" bestFit="1" customWidth="1"/>
    <col min="2" max="2" width="12.7109375" bestFit="1" customWidth="1"/>
    <col min="3" max="3" width="8.140625" bestFit="1" customWidth="1"/>
    <col min="4" max="4" width="7.5703125" bestFit="1" customWidth="1"/>
    <col min="5" max="5" width="24.7109375" bestFit="1" customWidth="1"/>
    <col min="6" max="6" width="23.42578125" bestFit="1" customWidth="1"/>
    <col min="7" max="7" width="15.28515625" bestFit="1" customWidth="1"/>
    <col min="8" max="8" width="20.140625" bestFit="1" customWidth="1"/>
    <col min="9" max="9" width="21.140625" bestFit="1" customWidth="1"/>
    <col min="10" max="10" width="21.7109375" bestFit="1" customWidth="1"/>
    <col min="11" max="11" width="21.5703125" bestFit="1" customWidth="1"/>
  </cols>
  <sheetData>
    <row r="1" spans="1:11" x14ac:dyDescent="0.25">
      <c r="A1" s="1" t="s">
        <v>402</v>
      </c>
      <c r="B1" s="1" t="s">
        <v>403</v>
      </c>
      <c r="C1" s="1" t="s">
        <v>404</v>
      </c>
      <c r="D1" s="1" t="s">
        <v>3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</row>
    <row r="2" spans="1:11" x14ac:dyDescent="0.25">
      <c r="A2" s="9" t="s">
        <v>433</v>
      </c>
      <c r="B2" s="9" t="s">
        <v>434</v>
      </c>
      <c r="C2" s="9" t="s">
        <v>432</v>
      </c>
      <c r="D2" s="9" t="s">
        <v>17</v>
      </c>
      <c r="E2" s="9">
        <v>525</v>
      </c>
      <c r="F2" s="9">
        <v>1167</v>
      </c>
      <c r="G2" s="9">
        <v>98.8</v>
      </c>
      <c r="H2" s="9">
        <v>4.4000000000000004</v>
      </c>
      <c r="I2" s="9">
        <v>0</v>
      </c>
      <c r="J2" s="9">
        <v>68</v>
      </c>
      <c r="K2" s="9">
        <f>(H2/5*40)+(G2/100*30)+(MAX(0,10-I2)/10*20)+(MIN(J2,60)/60*10)</f>
        <v>94.84</v>
      </c>
    </row>
    <row r="3" spans="1:11" x14ac:dyDescent="0.25">
      <c r="A3" s="8" t="s">
        <v>426</v>
      </c>
      <c r="B3" s="8" t="s">
        <v>427</v>
      </c>
      <c r="C3" s="8" t="s">
        <v>425</v>
      </c>
      <c r="D3" s="8" t="s">
        <v>17</v>
      </c>
      <c r="E3" s="8">
        <v>755</v>
      </c>
      <c r="F3" s="8">
        <v>0</v>
      </c>
      <c r="G3" s="8">
        <v>94.4</v>
      </c>
      <c r="H3" s="8">
        <v>4.7</v>
      </c>
      <c r="I3" s="8">
        <v>1</v>
      </c>
      <c r="J3" s="8">
        <v>49</v>
      </c>
      <c r="K3" s="8">
        <f>(H3/5*40)+(G3/100*30)+(MAX(0,10-I3)/10*20)+(MIN(J3,60)/60*10)</f>
        <v>92.086666666666673</v>
      </c>
    </row>
    <row r="4" spans="1:11" x14ac:dyDescent="0.25">
      <c r="A4" s="9" t="s">
        <v>423</v>
      </c>
      <c r="B4" s="9" t="s">
        <v>424</v>
      </c>
      <c r="C4" s="9" t="s">
        <v>425</v>
      </c>
      <c r="D4" s="9" t="s">
        <v>18</v>
      </c>
      <c r="E4" s="9">
        <v>1192</v>
      </c>
      <c r="F4" s="9">
        <v>0</v>
      </c>
      <c r="G4" s="9">
        <v>98</v>
      </c>
      <c r="H4" s="9">
        <v>4.8</v>
      </c>
      <c r="I4" s="9">
        <v>0</v>
      </c>
      <c r="J4" s="9">
        <v>20</v>
      </c>
      <c r="K4" s="9">
        <f>(H4/5*40)+(G4/100*30)+(MAX(0,10-I4)/10*20)+(MIN(J4,60)/60*10)</f>
        <v>91.133333333333326</v>
      </c>
    </row>
    <row r="5" spans="1:11" x14ac:dyDescent="0.25">
      <c r="A5" s="9" t="s">
        <v>428</v>
      </c>
      <c r="B5" s="9" t="s">
        <v>429</v>
      </c>
      <c r="C5" s="9" t="s">
        <v>425</v>
      </c>
      <c r="D5" s="9" t="s">
        <v>19</v>
      </c>
      <c r="E5" s="9">
        <v>614</v>
      </c>
      <c r="F5" s="9">
        <v>0</v>
      </c>
      <c r="G5" s="9">
        <v>90.8</v>
      </c>
      <c r="H5" s="9">
        <v>4.3</v>
      </c>
      <c r="I5" s="9">
        <v>1</v>
      </c>
      <c r="J5" s="9">
        <v>54</v>
      </c>
      <c r="K5" s="9">
        <f>(H5/5*40)+(G5/100*30)+(MAX(0,10-I5)/10*20)+(MIN(J5,60)/60*10)</f>
        <v>88.64</v>
      </c>
    </row>
    <row r="6" spans="1:11" x14ac:dyDescent="0.25">
      <c r="A6" s="8" t="s">
        <v>443</v>
      </c>
      <c r="B6" s="8" t="s">
        <v>444</v>
      </c>
      <c r="C6" s="8" t="s">
        <v>432</v>
      </c>
      <c r="D6" s="8" t="s">
        <v>19</v>
      </c>
      <c r="E6" s="8">
        <v>464</v>
      </c>
      <c r="F6" s="8">
        <v>1016</v>
      </c>
      <c r="G6" s="8">
        <v>95.1</v>
      </c>
      <c r="H6" s="8">
        <v>4.2</v>
      </c>
      <c r="I6" s="8">
        <v>0</v>
      </c>
      <c r="J6" s="8">
        <v>29</v>
      </c>
      <c r="K6" s="8">
        <f>(H6/5*40)+(G6/100*30)+(MAX(0,10-I6)/10*20)+(MIN(J6,60)/60*10)</f>
        <v>86.963333333333324</v>
      </c>
    </row>
    <row r="7" spans="1:11" x14ac:dyDescent="0.25">
      <c r="A7" s="8" t="s">
        <v>430</v>
      </c>
      <c r="B7" s="8" t="s">
        <v>431</v>
      </c>
      <c r="C7" s="8" t="s">
        <v>432</v>
      </c>
      <c r="D7" s="8" t="s">
        <v>18</v>
      </c>
      <c r="E7" s="8">
        <v>672</v>
      </c>
      <c r="F7" s="8">
        <v>1012</v>
      </c>
      <c r="G7" s="8">
        <v>93.2</v>
      </c>
      <c r="H7" s="8">
        <v>4.3</v>
      </c>
      <c r="I7" s="8">
        <v>2</v>
      </c>
      <c r="J7" s="8">
        <v>51</v>
      </c>
      <c r="K7" s="8">
        <f>(H7/5*40)+(G7/100*30)+(MAX(0,10-I7)/10*20)+(MIN(J7,60)/60*10)</f>
        <v>86.86</v>
      </c>
    </row>
    <row r="8" spans="1:11" x14ac:dyDescent="0.25">
      <c r="A8" s="8" t="s">
        <v>421</v>
      </c>
      <c r="B8" s="8" t="s">
        <v>422</v>
      </c>
      <c r="C8" s="8" t="s">
        <v>414</v>
      </c>
      <c r="D8" s="8" t="s">
        <v>17</v>
      </c>
      <c r="E8" s="8">
        <v>1434</v>
      </c>
      <c r="F8" s="8">
        <v>352</v>
      </c>
      <c r="G8" s="8">
        <v>91.7</v>
      </c>
      <c r="H8" s="8">
        <v>4.7</v>
      </c>
      <c r="I8" s="8">
        <v>2</v>
      </c>
      <c r="J8" s="8">
        <v>16</v>
      </c>
      <c r="K8" s="8">
        <f>(H8/5*40)+(G8/100*30)+(MAX(0,10-I8)/10*20)+(MIN(J8,60)/60*10)</f>
        <v>83.776666666666671</v>
      </c>
    </row>
    <row r="9" spans="1:11" x14ac:dyDescent="0.25">
      <c r="A9" s="8" t="s">
        <v>435</v>
      </c>
      <c r="B9" s="8" t="s">
        <v>436</v>
      </c>
      <c r="C9" s="8" t="s">
        <v>414</v>
      </c>
      <c r="D9" s="8" t="s">
        <v>19</v>
      </c>
      <c r="E9" s="8">
        <v>1203</v>
      </c>
      <c r="F9" s="8">
        <v>620</v>
      </c>
      <c r="G9" s="8">
        <v>84.7</v>
      </c>
      <c r="H9" s="8">
        <v>4.2</v>
      </c>
      <c r="I9" s="8">
        <v>2</v>
      </c>
      <c r="J9" s="8">
        <v>36</v>
      </c>
      <c r="K9" s="8">
        <f>(H9/5*40)+(G9/100*30)+(MAX(0,10-I9)/10*20)+(MIN(J9,60)/60*10)</f>
        <v>81.010000000000005</v>
      </c>
    </row>
    <row r="10" spans="1:11" x14ac:dyDescent="0.25">
      <c r="A10" s="9" t="s">
        <v>441</v>
      </c>
      <c r="B10" s="9" t="s">
        <v>442</v>
      </c>
      <c r="C10" s="9" t="s">
        <v>425</v>
      </c>
      <c r="D10" s="9" t="s">
        <v>18</v>
      </c>
      <c r="E10" s="9">
        <v>1327</v>
      </c>
      <c r="F10" s="9">
        <v>0</v>
      </c>
      <c r="G10" s="9">
        <v>89.8</v>
      </c>
      <c r="H10" s="9">
        <v>4.3</v>
      </c>
      <c r="I10" s="9">
        <v>4</v>
      </c>
      <c r="J10" s="9">
        <v>34</v>
      </c>
      <c r="K10" s="9">
        <f>(H10/5*40)+(G10/100*30)+(MAX(0,10-I10)/10*20)+(MIN(J10,60)/60*10)</f>
        <v>79.006666666666675</v>
      </c>
    </row>
    <row r="11" spans="1:11" x14ac:dyDescent="0.25">
      <c r="A11" s="9" t="s">
        <v>437</v>
      </c>
      <c r="B11" s="9" t="s">
        <v>438</v>
      </c>
      <c r="C11" s="9" t="s">
        <v>414</v>
      </c>
      <c r="D11" s="9" t="s">
        <v>18</v>
      </c>
      <c r="E11" s="9">
        <v>874</v>
      </c>
      <c r="F11" s="9">
        <v>364</v>
      </c>
      <c r="G11" s="9">
        <v>85.1</v>
      </c>
      <c r="H11" s="9">
        <v>4.3</v>
      </c>
      <c r="I11" s="9">
        <v>4</v>
      </c>
      <c r="J11" s="9">
        <v>31</v>
      </c>
      <c r="K11" s="9">
        <f>(H11/5*40)+(G11/100*30)+(MAX(0,10-I11)/10*20)+(MIN(J11,60)/60*10)</f>
        <v>77.096666666666678</v>
      </c>
    </row>
    <row r="12" spans="1:11" x14ac:dyDescent="0.25">
      <c r="A12" s="8" t="s">
        <v>412</v>
      </c>
      <c r="B12" s="8" t="s">
        <v>413</v>
      </c>
      <c r="C12" s="8" t="s">
        <v>414</v>
      </c>
      <c r="D12" s="8" t="s">
        <v>18</v>
      </c>
      <c r="E12" s="8">
        <v>1800</v>
      </c>
      <c r="F12" s="8">
        <v>589</v>
      </c>
      <c r="G12" s="8">
        <v>83.9</v>
      </c>
      <c r="H12" s="8">
        <v>3.8</v>
      </c>
      <c r="I12" s="8">
        <v>1</v>
      </c>
      <c r="J12" s="8">
        <v>19</v>
      </c>
      <c r="K12" s="8">
        <f>(H12/5*40)+(G12/100*30)+(MAX(0,10-I12)/10*20)+(MIN(J12,60)/60*10)</f>
        <v>76.736666666666665</v>
      </c>
    </row>
    <row r="13" spans="1:11" x14ac:dyDescent="0.25">
      <c r="A13" s="9" t="s">
        <v>419</v>
      </c>
      <c r="B13" s="9" t="s">
        <v>420</v>
      </c>
      <c r="C13" s="9" t="s">
        <v>414</v>
      </c>
      <c r="D13" s="9" t="s">
        <v>18</v>
      </c>
      <c r="E13" s="9">
        <v>1624</v>
      </c>
      <c r="F13" s="9">
        <v>398</v>
      </c>
      <c r="G13" s="9">
        <v>95.8</v>
      </c>
      <c r="H13" s="9">
        <v>4</v>
      </c>
      <c r="I13" s="9">
        <v>5</v>
      </c>
      <c r="J13" s="9">
        <v>6</v>
      </c>
      <c r="K13" s="9">
        <f>(H13/5*40)+(G13/100*30)+(MAX(0,10-I13)/10*20)+(MIN(J13,60)/60*10)</f>
        <v>71.739999999999995</v>
      </c>
    </row>
    <row r="14" spans="1:11" x14ac:dyDescent="0.25">
      <c r="A14" s="8" t="s">
        <v>417</v>
      </c>
      <c r="B14" s="8" t="s">
        <v>418</v>
      </c>
      <c r="C14" s="8" t="s">
        <v>414</v>
      </c>
      <c r="D14" s="8" t="s">
        <v>19</v>
      </c>
      <c r="E14" s="8">
        <v>1623</v>
      </c>
      <c r="F14" s="8">
        <v>687</v>
      </c>
      <c r="G14" s="8">
        <v>85.5</v>
      </c>
      <c r="H14" s="8">
        <v>3.7</v>
      </c>
      <c r="I14" s="8">
        <v>4</v>
      </c>
      <c r="J14" s="8">
        <v>17</v>
      </c>
      <c r="K14" s="8">
        <f>(H14/5*40)+(G14/100*30)+(MAX(0,10-I14)/10*20)+(MIN(J14,60)/60*10)</f>
        <v>70.083333333333329</v>
      </c>
    </row>
    <row r="15" spans="1:11" x14ac:dyDescent="0.25">
      <c r="A15" s="8" t="s">
        <v>439</v>
      </c>
      <c r="B15" s="8" t="s">
        <v>440</v>
      </c>
      <c r="C15" s="8" t="s">
        <v>414</v>
      </c>
      <c r="D15" s="8" t="s">
        <v>17</v>
      </c>
      <c r="E15" s="8">
        <v>817</v>
      </c>
      <c r="F15" s="8">
        <v>264</v>
      </c>
      <c r="G15" s="8">
        <v>88.1</v>
      </c>
      <c r="H15" s="8">
        <v>4</v>
      </c>
      <c r="I15" s="8">
        <v>8</v>
      </c>
      <c r="J15" s="8">
        <v>36</v>
      </c>
      <c r="K15" s="8">
        <f>(H15/5*40)+(G15/100*30)+(MAX(0,10-I15)/10*20)+(MIN(J15,60)/60*10)</f>
        <v>68.429999999999993</v>
      </c>
    </row>
    <row r="16" spans="1:11" x14ac:dyDescent="0.25">
      <c r="A16" s="9" t="s">
        <v>415</v>
      </c>
      <c r="B16" s="9" t="s">
        <v>416</v>
      </c>
      <c r="C16" s="9" t="s">
        <v>414</v>
      </c>
      <c r="D16" s="9" t="s">
        <v>17</v>
      </c>
      <c r="E16" s="9">
        <v>1788</v>
      </c>
      <c r="F16" s="9">
        <v>417</v>
      </c>
      <c r="G16" s="9">
        <v>95.9</v>
      </c>
      <c r="H16" s="9">
        <v>4.0999999999999996</v>
      </c>
      <c r="I16" s="9">
        <v>8</v>
      </c>
      <c r="J16" s="9">
        <v>13</v>
      </c>
      <c r="K16" s="9">
        <f>(H16/5*40)+(G16/100*30)+(MAX(0,10-I16)/10*20)+(MIN(J16,60)/60*10)</f>
        <v>67.736666666666665</v>
      </c>
    </row>
  </sheetData>
  <autoFilter ref="A1:K16" xr:uid="{C1E97B86-09AE-4EBC-B2FA-74BDC4985018}">
    <sortState xmlns:xlrd2="http://schemas.microsoft.com/office/spreadsheetml/2017/richdata2" ref="A2:K16">
      <sortCondition descending="1" ref="K1:K1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AFAC-F396-4D10-A4C5-9D8E955FCEC8}">
  <dimension ref="A1:K124"/>
  <sheetViews>
    <sheetView zoomScale="70" zoomScaleNormal="70" workbookViewId="0">
      <selection activeCell="G28" sqref="G28"/>
    </sheetView>
  </sheetViews>
  <sheetFormatPr defaultRowHeight="15" x14ac:dyDescent="0.25"/>
  <cols>
    <col min="1" max="1" width="15.85546875" style="60" bestFit="1" customWidth="1"/>
    <col min="2" max="2" width="39.7109375" style="60" bestFit="1" customWidth="1"/>
    <col min="3" max="3" width="20.28515625" style="60" bestFit="1" customWidth="1"/>
    <col min="4" max="4" width="27.28515625" style="60" bestFit="1" customWidth="1"/>
    <col min="5" max="5" width="30.7109375" style="60" bestFit="1" customWidth="1"/>
    <col min="6" max="6" width="21.7109375" style="60" bestFit="1" customWidth="1"/>
    <col min="7" max="7" width="17.85546875" style="60" bestFit="1" customWidth="1"/>
    <col min="8" max="8" width="20.28515625" style="60" bestFit="1" customWidth="1"/>
    <col min="9" max="9" width="31" style="60" bestFit="1" customWidth="1"/>
    <col min="10" max="10" width="21.140625" style="60" bestFit="1" customWidth="1"/>
    <col min="11" max="11" width="33.5703125" style="60" bestFit="1" customWidth="1"/>
    <col min="12" max="12" width="11.5703125" style="60" bestFit="1" customWidth="1"/>
    <col min="13" max="13" width="15.7109375" style="60" bestFit="1" customWidth="1"/>
    <col min="14" max="14" width="25.85546875" style="60" bestFit="1" customWidth="1"/>
    <col min="15" max="15" width="8.85546875" style="60" bestFit="1" customWidth="1"/>
    <col min="16" max="16" width="7.5703125" style="60" bestFit="1" customWidth="1"/>
    <col min="17" max="17" width="6.85546875" style="60" bestFit="1" customWidth="1"/>
    <col min="18" max="18" width="8" style="60" bestFit="1" customWidth="1"/>
    <col min="19" max="19" width="8.42578125" style="60" bestFit="1" customWidth="1"/>
    <col min="20" max="20" width="11.5703125" style="60" bestFit="1" customWidth="1"/>
    <col min="21" max="21" width="9.140625" style="60"/>
    <col min="22" max="22" width="6.42578125" style="60" bestFit="1" customWidth="1"/>
    <col min="23" max="23" width="8.85546875" style="60" bestFit="1" customWidth="1"/>
    <col min="24" max="24" width="7.5703125" style="60" bestFit="1" customWidth="1"/>
    <col min="25" max="25" width="6.85546875" style="60" bestFit="1" customWidth="1"/>
    <col min="26" max="26" width="8" style="60" bestFit="1" customWidth="1"/>
    <col min="27" max="27" width="8.42578125" style="60" bestFit="1" customWidth="1"/>
    <col min="28" max="28" width="11.5703125" style="60" bestFit="1" customWidth="1"/>
    <col min="29" max="29" width="9.140625" style="60"/>
    <col min="30" max="30" width="6.42578125" style="60" bestFit="1" customWidth="1"/>
    <col min="31" max="31" width="8.85546875" style="60" bestFit="1" customWidth="1"/>
    <col min="32" max="32" width="7.5703125" style="60" bestFit="1" customWidth="1"/>
    <col min="33" max="33" width="6.85546875" style="60" bestFit="1" customWidth="1"/>
    <col min="34" max="34" width="8" style="60" bestFit="1" customWidth="1"/>
    <col min="35" max="35" width="8.42578125" style="60" bestFit="1" customWidth="1"/>
    <col min="36" max="36" width="11.5703125" style="60" bestFit="1" customWidth="1"/>
    <col min="37" max="37" width="9.140625" style="60"/>
    <col min="38" max="38" width="6.42578125" style="60" bestFit="1" customWidth="1"/>
    <col min="39" max="39" width="8.85546875" style="60" bestFit="1" customWidth="1"/>
    <col min="40" max="40" width="7.5703125" style="60" bestFit="1" customWidth="1"/>
    <col min="41" max="41" width="6.85546875" style="60" bestFit="1" customWidth="1"/>
    <col min="42" max="42" width="8" style="60" bestFit="1" customWidth="1"/>
    <col min="43" max="43" width="8.42578125" style="60" bestFit="1" customWidth="1"/>
    <col min="44" max="44" width="11.5703125" style="60" bestFit="1" customWidth="1"/>
    <col min="45" max="45" width="9.140625" style="60"/>
    <col min="46" max="46" width="6.42578125" style="60" bestFit="1" customWidth="1"/>
    <col min="47" max="47" width="8.85546875" style="60" bestFit="1" customWidth="1"/>
    <col min="48" max="48" width="7.5703125" style="60" bestFit="1" customWidth="1"/>
    <col min="49" max="49" width="6.85546875" style="60" bestFit="1" customWidth="1"/>
    <col min="50" max="50" width="8" style="60" bestFit="1" customWidth="1"/>
    <col min="51" max="51" width="8.42578125" style="60" bestFit="1" customWidth="1"/>
    <col min="52" max="52" width="11.5703125" style="60" bestFit="1" customWidth="1"/>
    <col min="53" max="53" width="9.140625" style="60"/>
    <col min="54" max="54" width="6.42578125" style="60" bestFit="1" customWidth="1"/>
    <col min="55" max="55" width="8.85546875" style="60" bestFit="1" customWidth="1"/>
    <col min="56" max="56" width="7.5703125" style="60" bestFit="1" customWidth="1"/>
    <col min="57" max="57" width="6.85546875" style="60" bestFit="1" customWidth="1"/>
    <col min="58" max="58" width="8" style="60" bestFit="1" customWidth="1"/>
    <col min="59" max="59" width="8.42578125" style="60" bestFit="1" customWidth="1"/>
    <col min="60" max="60" width="11.5703125" style="60" bestFit="1" customWidth="1"/>
    <col min="61" max="61" width="9.140625" style="60"/>
    <col min="62" max="62" width="6.42578125" style="60" bestFit="1" customWidth="1"/>
    <col min="63" max="63" width="8.85546875" style="60" bestFit="1" customWidth="1"/>
    <col min="64" max="64" width="7.5703125" style="60" bestFit="1" customWidth="1"/>
    <col min="65" max="65" width="7.85546875" style="60" bestFit="1" customWidth="1"/>
    <col min="66" max="66" width="11.28515625" style="60" bestFit="1" customWidth="1"/>
    <col min="67" max="16384" width="9.140625" style="60"/>
  </cols>
  <sheetData>
    <row r="1" spans="1:11" s="60" customFormat="1" x14ac:dyDescent="0.25"/>
    <row r="2" spans="1:11" s="60" customFormat="1" x14ac:dyDescent="0.25">
      <c r="A2" s="60" t="s">
        <v>518</v>
      </c>
      <c r="B2" s="60" t="s">
        <v>521</v>
      </c>
      <c r="C2" s="60" t="s">
        <v>522</v>
      </c>
      <c r="D2" s="61" t="s">
        <v>517</v>
      </c>
      <c r="E2" s="61" t="s">
        <v>518</v>
      </c>
      <c r="F2" s="61" t="s">
        <v>519</v>
      </c>
      <c r="G2" s="62" t="s">
        <v>520</v>
      </c>
    </row>
    <row r="3" spans="1:11" s="60" customFormat="1" x14ac:dyDescent="0.25">
      <c r="A3" s="63">
        <v>1098</v>
      </c>
      <c r="B3" s="63">
        <v>23771480</v>
      </c>
      <c r="C3" s="63">
        <v>15</v>
      </c>
      <c r="D3" s="60" t="str">
        <f>INDEX(A7:A9,MATCH(MAX(B7:B9),B7:B9,0))</f>
        <v>Evening</v>
      </c>
      <c r="E3" s="60">
        <f>SUM('Daily Operations'!E2:E1099)</f>
        <v>74038</v>
      </c>
      <c r="F3" s="64">
        <f>AVERAGE('Daily Operations'!K2:K1099)</f>
        <v>4.1315118397085557</v>
      </c>
      <c r="G3" s="65">
        <f>AVERAGE('Daily Operations'!L2:L1099)</f>
        <v>0.3488069198013648</v>
      </c>
    </row>
    <row r="4" spans="1:11" s="60" customFormat="1" x14ac:dyDescent="0.25"/>
    <row r="5" spans="1:11" s="60" customFormat="1" x14ac:dyDescent="0.25"/>
    <row r="6" spans="1:11" s="60" customFormat="1" x14ac:dyDescent="0.25">
      <c r="A6" s="66" t="s">
        <v>506</v>
      </c>
      <c r="B6" s="67" t="s">
        <v>508</v>
      </c>
      <c r="D6" s="66" t="s">
        <v>506</v>
      </c>
      <c r="E6" s="60" t="s">
        <v>512</v>
      </c>
      <c r="G6" s="66" t="s">
        <v>506</v>
      </c>
      <c r="H6" s="60" t="s">
        <v>508</v>
      </c>
      <c r="J6" s="66" t="s">
        <v>506</v>
      </c>
      <c r="K6" s="60" t="s">
        <v>511</v>
      </c>
    </row>
    <row r="7" spans="1:11" s="60" customFormat="1" x14ac:dyDescent="0.25">
      <c r="A7" s="60" t="s">
        <v>18</v>
      </c>
      <c r="B7" s="67">
        <v>14889027</v>
      </c>
      <c r="D7" s="60" t="s">
        <v>15</v>
      </c>
      <c r="E7" s="65">
        <v>1.0046050442158214</v>
      </c>
      <c r="G7" s="60" t="s">
        <v>15</v>
      </c>
      <c r="H7" s="67">
        <v>2178934</v>
      </c>
      <c r="J7" s="60" t="s">
        <v>434</v>
      </c>
      <c r="K7" s="63">
        <v>94.84</v>
      </c>
    </row>
    <row r="8" spans="1:11" s="60" customFormat="1" x14ac:dyDescent="0.25">
      <c r="A8" s="60" t="s">
        <v>19</v>
      </c>
      <c r="B8" s="67">
        <v>5554950</v>
      </c>
      <c r="D8" s="60" t="s">
        <v>57</v>
      </c>
      <c r="E8" s="65">
        <v>1.0079525310971194</v>
      </c>
      <c r="G8" s="60" t="s">
        <v>57</v>
      </c>
      <c r="H8" s="67">
        <v>1889891</v>
      </c>
      <c r="J8" s="60" t="s">
        <v>427</v>
      </c>
      <c r="K8" s="63">
        <v>92.086666666666673</v>
      </c>
    </row>
    <row r="9" spans="1:11" s="60" customFormat="1" x14ac:dyDescent="0.25">
      <c r="A9" s="60" t="s">
        <v>17</v>
      </c>
      <c r="B9" s="67">
        <v>3327503</v>
      </c>
      <c r="D9" s="60" t="s">
        <v>87</v>
      </c>
      <c r="E9" s="65">
        <v>1.0048653045899705</v>
      </c>
      <c r="G9" s="60" t="s">
        <v>87</v>
      </c>
      <c r="H9" s="67">
        <v>2006142</v>
      </c>
      <c r="J9" s="60" t="s">
        <v>424</v>
      </c>
      <c r="K9" s="63">
        <v>91.133333333333326</v>
      </c>
    </row>
    <row r="10" spans="1:11" s="60" customFormat="1" x14ac:dyDescent="0.25">
      <c r="A10" s="60" t="s">
        <v>507</v>
      </c>
      <c r="B10" s="67">
        <v>23771480</v>
      </c>
      <c r="D10" s="60" t="s">
        <v>119</v>
      </c>
      <c r="E10" s="65">
        <v>0.99963407106957136</v>
      </c>
      <c r="G10" s="60" t="s">
        <v>119</v>
      </c>
      <c r="H10" s="67">
        <v>1956817</v>
      </c>
      <c r="J10" s="60" t="s">
        <v>429</v>
      </c>
      <c r="K10" s="63">
        <v>88.64</v>
      </c>
    </row>
    <row r="11" spans="1:11" s="60" customFormat="1" x14ac:dyDescent="0.25">
      <c r="D11" s="60" t="s">
        <v>150</v>
      </c>
      <c r="E11" s="65">
        <v>0.99549593112060009</v>
      </c>
      <c r="G11" s="60" t="s">
        <v>150</v>
      </c>
      <c r="H11" s="67">
        <v>2000250</v>
      </c>
      <c r="J11" s="60" t="s">
        <v>444</v>
      </c>
      <c r="K11" s="63">
        <v>86.963333333333324</v>
      </c>
    </row>
    <row r="12" spans="1:11" s="60" customFormat="1" x14ac:dyDescent="0.25">
      <c r="D12" s="60" t="s">
        <v>182</v>
      </c>
      <c r="E12" s="65">
        <v>1.0036681068688842</v>
      </c>
      <c r="G12" s="60" t="s">
        <v>182</v>
      </c>
      <c r="H12" s="67">
        <v>1620711</v>
      </c>
      <c r="J12" s="60" t="s">
        <v>431</v>
      </c>
      <c r="K12" s="63">
        <v>86.86</v>
      </c>
    </row>
    <row r="13" spans="1:11" s="60" customFormat="1" x14ac:dyDescent="0.25">
      <c r="D13" s="60" t="s">
        <v>213</v>
      </c>
      <c r="E13" s="65">
        <v>1.0033037423450752</v>
      </c>
      <c r="G13" s="60" t="s">
        <v>213</v>
      </c>
      <c r="H13" s="67">
        <v>1632078</v>
      </c>
      <c r="J13" s="60" t="s">
        <v>422</v>
      </c>
      <c r="K13" s="63">
        <v>83.776666666666671</v>
      </c>
    </row>
    <row r="14" spans="1:11" s="60" customFormat="1" x14ac:dyDescent="0.25">
      <c r="D14" s="60" t="s">
        <v>245</v>
      </c>
      <c r="E14" s="65">
        <v>0.98977020288931783</v>
      </c>
      <c r="G14" s="60" t="s">
        <v>245</v>
      </c>
      <c r="H14" s="67">
        <v>2119065</v>
      </c>
      <c r="J14" s="60" t="s">
        <v>436</v>
      </c>
      <c r="K14" s="63">
        <v>81.010000000000005</v>
      </c>
    </row>
    <row r="15" spans="1:11" s="60" customFormat="1" x14ac:dyDescent="0.25">
      <c r="A15" s="66" t="s">
        <v>506</v>
      </c>
      <c r="B15" s="60" t="s">
        <v>516</v>
      </c>
      <c r="D15" s="60" t="s">
        <v>277</v>
      </c>
      <c r="E15" s="65">
        <v>0.99075919231108478</v>
      </c>
      <c r="G15" s="60" t="s">
        <v>277</v>
      </c>
      <c r="H15" s="67">
        <v>1854892</v>
      </c>
      <c r="J15" s="60" t="s">
        <v>442</v>
      </c>
      <c r="K15" s="63">
        <v>79.006666666666675</v>
      </c>
    </row>
    <row r="16" spans="1:11" s="60" customFormat="1" x14ac:dyDescent="0.25">
      <c r="A16" s="60" t="s">
        <v>18</v>
      </c>
      <c r="B16" s="68">
        <v>60.37158469945355</v>
      </c>
      <c r="D16" s="60" t="s">
        <v>308</v>
      </c>
      <c r="E16" s="65">
        <v>1.0030434819709257</v>
      </c>
      <c r="G16" s="60" t="s">
        <v>308</v>
      </c>
      <c r="H16" s="67">
        <v>2012139</v>
      </c>
      <c r="J16" s="60" t="s">
        <v>438</v>
      </c>
      <c r="K16" s="63">
        <v>77.096666666666678</v>
      </c>
    </row>
    <row r="17" spans="1:11" s="60" customFormat="1" x14ac:dyDescent="0.25">
      <c r="A17" s="60" t="s">
        <v>17</v>
      </c>
      <c r="B17" s="68">
        <v>45.341530054644807</v>
      </c>
      <c r="D17" s="60" t="s">
        <v>340</v>
      </c>
      <c r="E17" s="65">
        <v>0.99398642095053491</v>
      </c>
      <c r="G17" s="60" t="s">
        <v>340</v>
      </c>
      <c r="H17" s="67">
        <v>2225018</v>
      </c>
      <c r="J17" s="60" t="s">
        <v>413</v>
      </c>
      <c r="K17" s="63">
        <v>76.736666666666665</v>
      </c>
    </row>
    <row r="18" spans="1:11" s="60" customFormat="1" x14ac:dyDescent="0.25">
      <c r="A18" s="60" t="s">
        <v>19</v>
      </c>
      <c r="B18" s="68">
        <v>51.691256830601091</v>
      </c>
      <c r="D18" s="60" t="s">
        <v>371</v>
      </c>
      <c r="E18" s="65">
        <v>1.003043481970926</v>
      </c>
      <c r="G18" s="60" t="s">
        <v>371</v>
      </c>
      <c r="H18" s="67">
        <v>2275543</v>
      </c>
      <c r="J18" s="60" t="s">
        <v>420</v>
      </c>
      <c r="K18" s="63">
        <v>71.739999999999995</v>
      </c>
    </row>
    <row r="19" spans="1:11" s="60" customFormat="1" x14ac:dyDescent="0.25">
      <c r="A19" s="60" t="s">
        <v>507</v>
      </c>
      <c r="B19" s="68">
        <v>52.468123861566482</v>
      </c>
      <c r="D19" s="60" t="s">
        <v>507</v>
      </c>
      <c r="E19" s="65">
        <v>1</v>
      </c>
      <c r="G19" s="60" t="s">
        <v>507</v>
      </c>
      <c r="H19" s="67">
        <v>23771480</v>
      </c>
      <c r="J19" s="60" t="s">
        <v>418</v>
      </c>
      <c r="K19" s="63">
        <v>70.083333333333329</v>
      </c>
    </row>
    <row r="20" spans="1:11" s="60" customFormat="1" x14ac:dyDescent="0.25">
      <c r="J20" s="60" t="s">
        <v>440</v>
      </c>
      <c r="K20" s="63">
        <v>68.429999999999993</v>
      </c>
    </row>
    <row r="21" spans="1:11" s="60" customFormat="1" x14ac:dyDescent="0.25">
      <c r="J21" s="60" t="s">
        <v>416</v>
      </c>
      <c r="K21" s="63">
        <v>67.736666666666665</v>
      </c>
    </row>
    <row r="22" spans="1:11" s="60" customFormat="1" x14ac:dyDescent="0.25">
      <c r="J22" s="60" t="s">
        <v>507</v>
      </c>
      <c r="K22" s="63">
        <v>1216.1400000000001</v>
      </c>
    </row>
    <row r="23" spans="1:11" s="60" customFormat="1" x14ac:dyDescent="0.25">
      <c r="A23" s="66" t="s">
        <v>506</v>
      </c>
      <c r="B23" s="60" t="s">
        <v>510</v>
      </c>
      <c r="C23" s="60" t="s">
        <v>508</v>
      </c>
      <c r="E23" s="66" t="s">
        <v>506</v>
      </c>
      <c r="F23" s="69" t="s">
        <v>510</v>
      </c>
    </row>
    <row r="24" spans="1:11" s="60" customFormat="1" x14ac:dyDescent="0.25">
      <c r="A24" s="60" t="s">
        <v>18</v>
      </c>
      <c r="B24" s="63">
        <v>39301</v>
      </c>
      <c r="C24" s="67">
        <v>14889027</v>
      </c>
      <c r="E24" s="60" t="s">
        <v>15</v>
      </c>
      <c r="F24" s="69">
        <v>6901</v>
      </c>
    </row>
    <row r="25" spans="1:11" s="60" customFormat="1" x14ac:dyDescent="0.25">
      <c r="A25" s="60" t="s">
        <v>19</v>
      </c>
      <c r="B25" s="63">
        <v>20168</v>
      </c>
      <c r="C25" s="67">
        <v>5554950</v>
      </c>
      <c r="E25" s="60" t="s">
        <v>57</v>
      </c>
      <c r="F25" s="69">
        <v>5857</v>
      </c>
      <c r="H25" s="66" t="s">
        <v>506</v>
      </c>
      <c r="I25" s="60" t="s">
        <v>515</v>
      </c>
    </row>
    <row r="26" spans="1:11" s="60" customFormat="1" x14ac:dyDescent="0.25">
      <c r="A26" s="60" t="s">
        <v>17</v>
      </c>
      <c r="B26" s="63">
        <v>14569</v>
      </c>
      <c r="C26" s="67">
        <v>3327503</v>
      </c>
      <c r="E26" s="60" t="s">
        <v>87</v>
      </c>
      <c r="F26" s="69">
        <v>6267</v>
      </c>
      <c r="H26" s="60" t="s">
        <v>15</v>
      </c>
      <c r="I26" s="70">
        <v>0.34815427456765363</v>
      </c>
    </row>
    <row r="27" spans="1:11" s="60" customFormat="1" x14ac:dyDescent="0.25">
      <c r="A27" s="60" t="s">
        <v>507</v>
      </c>
      <c r="B27" s="63">
        <v>74038</v>
      </c>
      <c r="C27" s="67">
        <v>23771480</v>
      </c>
      <c r="E27" s="60" t="s">
        <v>119</v>
      </c>
      <c r="F27" s="69">
        <v>6038</v>
      </c>
      <c r="H27" s="60" t="s">
        <v>57</v>
      </c>
      <c r="I27" s="70">
        <v>0.35022025057102313</v>
      </c>
    </row>
    <row r="28" spans="1:11" s="60" customFormat="1" x14ac:dyDescent="0.25">
      <c r="E28" s="60" t="s">
        <v>150</v>
      </c>
      <c r="F28" s="69">
        <v>6409</v>
      </c>
      <c r="H28" s="60" t="s">
        <v>87</v>
      </c>
      <c r="I28" s="70">
        <v>0.34766369391797253</v>
      </c>
    </row>
    <row r="29" spans="1:11" s="60" customFormat="1" x14ac:dyDescent="0.25">
      <c r="E29" s="60" t="s">
        <v>182</v>
      </c>
      <c r="F29" s="69">
        <v>4951</v>
      </c>
      <c r="H29" s="60" t="s">
        <v>119</v>
      </c>
      <c r="I29" s="70">
        <v>0.35132498747974539</v>
      </c>
    </row>
    <row r="30" spans="1:11" s="60" customFormat="1" x14ac:dyDescent="0.25">
      <c r="A30" s="66" t="s">
        <v>506</v>
      </c>
      <c r="B30" s="60" t="s">
        <v>508</v>
      </c>
      <c r="E30" s="60" t="s">
        <v>213</v>
      </c>
      <c r="F30" s="69">
        <v>5141</v>
      </c>
      <c r="H30" s="60" t="s">
        <v>150</v>
      </c>
      <c r="I30" s="70">
        <v>0.35266410241311602</v>
      </c>
    </row>
    <row r="31" spans="1:11" s="60" customFormat="1" x14ac:dyDescent="0.25">
      <c r="A31" s="60" t="s">
        <v>15</v>
      </c>
      <c r="B31" s="67">
        <v>2178934</v>
      </c>
      <c r="E31" s="60" t="s">
        <v>245</v>
      </c>
      <c r="F31" s="69">
        <v>6600</v>
      </c>
      <c r="H31" s="60" t="s">
        <v>182</v>
      </c>
      <c r="I31" s="70">
        <v>0.34373757603692945</v>
      </c>
    </row>
    <row r="32" spans="1:11" s="60" customFormat="1" x14ac:dyDescent="0.25">
      <c r="A32" s="60" t="s">
        <v>57</v>
      </c>
      <c r="B32" s="67">
        <v>1889891</v>
      </c>
      <c r="E32" s="60" t="s">
        <v>277</v>
      </c>
      <c r="F32" s="69">
        <v>5825</v>
      </c>
      <c r="H32" s="60" t="s">
        <v>213</v>
      </c>
      <c r="I32" s="70">
        <v>0.34253515576879268</v>
      </c>
    </row>
    <row r="33" spans="1:9" s="60" customFormat="1" x14ac:dyDescent="0.25">
      <c r="A33" s="60" t="s">
        <v>87</v>
      </c>
      <c r="B33" s="67">
        <v>2006142</v>
      </c>
      <c r="E33" s="60" t="s">
        <v>308</v>
      </c>
      <c r="F33" s="69">
        <v>6192</v>
      </c>
      <c r="H33" s="60" t="s">
        <v>245</v>
      </c>
      <c r="I33" s="70">
        <v>0.3619673524397683</v>
      </c>
    </row>
    <row r="34" spans="1:9" s="60" customFormat="1" x14ac:dyDescent="0.25">
      <c r="A34" s="60" t="s">
        <v>119</v>
      </c>
      <c r="B34" s="67">
        <v>1956817</v>
      </c>
      <c r="E34" s="60" t="s">
        <v>340</v>
      </c>
      <c r="F34" s="69">
        <v>6829</v>
      </c>
      <c r="H34" s="60" t="s">
        <v>277</v>
      </c>
      <c r="I34" s="70">
        <v>0.34708815220988348</v>
      </c>
    </row>
    <row r="35" spans="1:9" s="60" customFormat="1" x14ac:dyDescent="0.25">
      <c r="A35" s="60" t="s">
        <v>150</v>
      </c>
      <c r="B35" s="67">
        <v>2000250</v>
      </c>
      <c r="E35" s="60" t="s">
        <v>371</v>
      </c>
      <c r="F35" s="69">
        <v>7028</v>
      </c>
      <c r="H35" s="60" t="s">
        <v>308</v>
      </c>
      <c r="I35" s="70">
        <v>0.34855382159260706</v>
      </c>
    </row>
    <row r="36" spans="1:9" s="60" customFormat="1" x14ac:dyDescent="0.25">
      <c r="A36" s="60" t="s">
        <v>182</v>
      </c>
      <c r="B36" s="67">
        <v>1620711</v>
      </c>
      <c r="E36" s="60" t="s">
        <v>507</v>
      </c>
      <c r="F36" s="69">
        <v>74038</v>
      </c>
      <c r="H36" s="60" t="s">
        <v>340</v>
      </c>
      <c r="I36" s="70">
        <v>0.34219122957243836</v>
      </c>
    </row>
    <row r="37" spans="1:9" s="60" customFormat="1" x14ac:dyDescent="0.25">
      <c r="A37" s="60" t="s">
        <v>213</v>
      </c>
      <c r="B37" s="67">
        <v>1632078</v>
      </c>
      <c r="H37" s="60" t="s">
        <v>371</v>
      </c>
      <c r="I37" s="70">
        <v>0.34932247097008717</v>
      </c>
    </row>
    <row r="38" spans="1:9" s="60" customFormat="1" x14ac:dyDescent="0.25">
      <c r="A38" s="60" t="s">
        <v>245</v>
      </c>
      <c r="B38" s="67">
        <v>2119065</v>
      </c>
      <c r="H38" s="60" t="s">
        <v>507</v>
      </c>
      <c r="I38" s="70">
        <v>0.3488069198013648</v>
      </c>
    </row>
    <row r="39" spans="1:9" s="60" customFormat="1" x14ac:dyDescent="0.25">
      <c r="A39" s="60" t="s">
        <v>277</v>
      </c>
      <c r="B39" s="67">
        <v>1854892</v>
      </c>
    </row>
    <row r="40" spans="1:9" s="60" customFormat="1" x14ac:dyDescent="0.25">
      <c r="A40" s="60" t="s">
        <v>308</v>
      </c>
      <c r="B40" s="67">
        <v>2012139</v>
      </c>
    </row>
    <row r="41" spans="1:9" s="60" customFormat="1" x14ac:dyDescent="0.25">
      <c r="A41" s="60" t="s">
        <v>340</v>
      </c>
      <c r="B41" s="67">
        <v>2225018</v>
      </c>
    </row>
    <row r="42" spans="1:9" s="60" customFormat="1" x14ac:dyDescent="0.25">
      <c r="A42" s="60" t="s">
        <v>371</v>
      </c>
      <c r="B42" s="67">
        <v>2275543</v>
      </c>
    </row>
    <row r="43" spans="1:9" s="60" customFormat="1" x14ac:dyDescent="0.25">
      <c r="A43" s="60" t="s">
        <v>507</v>
      </c>
      <c r="B43" s="67">
        <v>23771480</v>
      </c>
    </row>
    <row r="44" spans="1:9" s="60" customFormat="1" x14ac:dyDescent="0.25"/>
    <row r="45" spans="1:9" s="60" customFormat="1" x14ac:dyDescent="0.25"/>
    <row r="46" spans="1:9" s="60" customFormat="1" x14ac:dyDescent="0.25"/>
    <row r="47" spans="1:9" s="60" customFormat="1" x14ac:dyDescent="0.25"/>
    <row r="48" spans="1:9" s="60" customFormat="1" x14ac:dyDescent="0.25"/>
    <row r="49" s="60" customFormat="1" x14ac:dyDescent="0.25"/>
    <row r="50" s="60" customFormat="1" x14ac:dyDescent="0.25"/>
    <row r="51" s="60" customFormat="1" x14ac:dyDescent="0.25"/>
    <row r="52" s="60" customFormat="1" x14ac:dyDescent="0.25"/>
    <row r="53" s="60" customFormat="1" x14ac:dyDescent="0.25"/>
    <row r="54" s="60" customFormat="1" x14ac:dyDescent="0.25"/>
    <row r="55" s="60" customFormat="1" x14ac:dyDescent="0.25"/>
    <row r="56" s="60" customFormat="1" x14ac:dyDescent="0.25"/>
    <row r="57" s="60" customFormat="1" x14ac:dyDescent="0.25"/>
    <row r="58" s="60" customFormat="1" x14ac:dyDescent="0.25"/>
    <row r="59" s="60" customFormat="1" x14ac:dyDescent="0.25"/>
    <row r="60" s="60" customFormat="1" x14ac:dyDescent="0.25"/>
    <row r="61" s="60" customFormat="1" x14ac:dyDescent="0.25"/>
    <row r="62" s="60" customFormat="1" x14ac:dyDescent="0.25"/>
    <row r="63" s="60" customFormat="1" x14ac:dyDescent="0.25"/>
    <row r="64" s="60" customFormat="1" x14ac:dyDescent="0.25"/>
    <row r="65" s="60" customFormat="1" x14ac:dyDescent="0.25"/>
    <row r="66" s="60" customFormat="1" x14ac:dyDescent="0.25"/>
    <row r="67" s="60" customFormat="1" x14ac:dyDescent="0.25"/>
    <row r="68" s="60" customFormat="1" x14ac:dyDescent="0.25"/>
    <row r="69" s="60" customFormat="1" x14ac:dyDescent="0.25"/>
    <row r="70" s="60" customFormat="1" x14ac:dyDescent="0.25"/>
    <row r="71" s="60" customFormat="1" x14ac:dyDescent="0.25"/>
    <row r="72" s="60" customFormat="1" x14ac:dyDescent="0.25"/>
    <row r="73" s="60" customFormat="1" x14ac:dyDescent="0.25"/>
    <row r="74" s="60" customFormat="1" x14ac:dyDescent="0.25"/>
    <row r="75" s="60" customFormat="1" x14ac:dyDescent="0.25"/>
    <row r="76" s="60" customFormat="1" x14ac:dyDescent="0.25"/>
    <row r="77" s="60" customFormat="1" x14ac:dyDescent="0.25"/>
    <row r="78" s="60" customFormat="1" x14ac:dyDescent="0.25"/>
    <row r="79" s="60" customFormat="1" x14ac:dyDescent="0.25"/>
    <row r="80" s="60" customFormat="1" x14ac:dyDescent="0.25"/>
    <row r="81" s="60" customFormat="1" x14ac:dyDescent="0.25"/>
    <row r="82" s="60" customFormat="1" x14ac:dyDescent="0.25"/>
    <row r="83" s="60" customFormat="1" x14ac:dyDescent="0.25"/>
    <row r="84" s="60" customFormat="1" x14ac:dyDescent="0.25"/>
    <row r="85" s="60" customFormat="1" x14ac:dyDescent="0.25"/>
    <row r="86" s="60" customFormat="1" x14ac:dyDescent="0.25"/>
    <row r="87" s="60" customFormat="1" x14ac:dyDescent="0.25"/>
    <row r="88" s="60" customFormat="1" x14ac:dyDescent="0.25"/>
    <row r="89" s="60" customFormat="1" x14ac:dyDescent="0.25"/>
    <row r="90" s="60" customFormat="1" x14ac:dyDescent="0.25"/>
    <row r="91" s="60" customFormat="1" x14ac:dyDescent="0.25"/>
    <row r="92" s="60" customFormat="1" x14ac:dyDescent="0.25"/>
    <row r="93" s="60" customFormat="1" x14ac:dyDescent="0.25"/>
    <row r="94" s="60" customFormat="1" x14ac:dyDescent="0.25"/>
    <row r="95" s="60" customFormat="1" x14ac:dyDescent="0.25"/>
    <row r="96" s="60" customFormat="1" x14ac:dyDescent="0.25"/>
    <row r="97" s="60" customFormat="1" x14ac:dyDescent="0.25"/>
    <row r="98" s="60" customFormat="1" x14ac:dyDescent="0.25"/>
    <row r="99" s="60" customFormat="1" x14ac:dyDescent="0.25"/>
    <row r="100" s="60" customFormat="1" x14ac:dyDescent="0.25"/>
    <row r="101" s="60" customFormat="1" x14ac:dyDescent="0.25"/>
    <row r="102" s="60" customFormat="1" x14ac:dyDescent="0.25"/>
    <row r="103" s="60" customFormat="1" x14ac:dyDescent="0.25"/>
    <row r="104" s="60" customFormat="1" x14ac:dyDescent="0.25"/>
    <row r="105" s="60" customFormat="1" x14ac:dyDescent="0.25"/>
    <row r="106" s="60" customFormat="1" x14ac:dyDescent="0.25"/>
    <row r="107" s="60" customFormat="1" x14ac:dyDescent="0.25"/>
    <row r="108" s="60" customFormat="1" x14ac:dyDescent="0.25"/>
    <row r="109" s="60" customFormat="1" x14ac:dyDescent="0.25"/>
    <row r="110" s="60" customFormat="1" x14ac:dyDescent="0.25"/>
    <row r="111" s="60" customFormat="1" x14ac:dyDescent="0.25"/>
    <row r="112" s="60" customFormat="1" x14ac:dyDescent="0.25"/>
    <row r="113" s="60" customFormat="1" x14ac:dyDescent="0.25"/>
    <row r="114" s="60" customFormat="1" x14ac:dyDescent="0.25"/>
    <row r="115" s="60" customFormat="1" x14ac:dyDescent="0.25"/>
    <row r="116" s="60" customFormat="1" x14ac:dyDescent="0.25"/>
    <row r="117" s="60" customFormat="1" x14ac:dyDescent="0.25"/>
    <row r="118" s="60" customFormat="1" x14ac:dyDescent="0.25"/>
    <row r="119" s="60" customFormat="1" x14ac:dyDescent="0.25"/>
    <row r="120" s="60" customFormat="1" x14ac:dyDescent="0.25"/>
    <row r="121" s="60" customFormat="1" x14ac:dyDescent="0.25"/>
    <row r="122" s="60" customFormat="1" x14ac:dyDescent="0.25"/>
    <row r="123" s="60" customFormat="1" x14ac:dyDescent="0.25"/>
    <row r="124" s="60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5647-3ACB-4A1E-8826-5885B0B214A6}">
  <dimension ref="A1:G13"/>
  <sheetViews>
    <sheetView zoomScale="110" zoomScaleNormal="110" workbookViewId="0">
      <selection activeCell="B5" sqref="B5"/>
    </sheetView>
  </sheetViews>
  <sheetFormatPr defaultRowHeight="44.25" customHeight="1" x14ac:dyDescent="0.25"/>
  <cols>
    <col min="1" max="1" width="31.7109375" customWidth="1"/>
    <col min="2" max="2" width="31.28515625" customWidth="1"/>
    <col min="3" max="3" width="70.42578125" customWidth="1"/>
    <col min="4" max="4" width="26.140625" customWidth="1"/>
    <col min="5" max="5" width="9.85546875" bestFit="1" customWidth="1"/>
    <col min="6" max="6" width="7.7109375" bestFit="1" customWidth="1"/>
  </cols>
  <sheetData>
    <row r="1" spans="1:7" ht="44.25" customHeight="1" x14ac:dyDescent="0.25">
      <c r="A1" s="14" t="s">
        <v>454</v>
      </c>
      <c r="B1" s="14"/>
      <c r="C1" s="14"/>
      <c r="D1" s="14"/>
      <c r="E1" s="14"/>
      <c r="F1" s="14"/>
      <c r="G1" s="14"/>
    </row>
    <row r="2" spans="1:7" ht="30.75" customHeight="1" x14ac:dyDescent="0.25">
      <c r="A2" s="28" t="s">
        <v>455</v>
      </c>
      <c r="B2" s="28"/>
      <c r="C2" s="28"/>
      <c r="D2" s="28"/>
      <c r="E2" s="28"/>
      <c r="F2" s="28"/>
      <c r="G2" s="28"/>
    </row>
    <row r="3" spans="1:7" ht="44.25" customHeight="1" x14ac:dyDescent="0.25">
      <c r="A3" s="15" t="s">
        <v>456</v>
      </c>
      <c r="B3" s="15" t="s">
        <v>457</v>
      </c>
      <c r="C3" s="15" t="s">
        <v>458</v>
      </c>
      <c r="D3" s="15" t="s">
        <v>459</v>
      </c>
      <c r="E3" s="15" t="s">
        <v>460</v>
      </c>
      <c r="F3" s="15" t="s">
        <v>461</v>
      </c>
    </row>
    <row r="4" spans="1:7" ht="44.25" customHeight="1" x14ac:dyDescent="0.25">
      <c r="A4" s="16" t="s">
        <v>462</v>
      </c>
      <c r="B4" s="17" t="s">
        <v>463</v>
      </c>
      <c r="C4" s="17" t="s">
        <v>464</v>
      </c>
      <c r="D4" s="17" t="s">
        <v>465</v>
      </c>
      <c r="E4" s="18" t="s">
        <v>466</v>
      </c>
      <c r="F4" s="19" t="s">
        <v>467</v>
      </c>
    </row>
    <row r="5" spans="1:7" ht="44.25" customHeight="1" x14ac:dyDescent="0.25">
      <c r="A5" s="20" t="s">
        <v>468</v>
      </c>
      <c r="B5" s="21" t="s">
        <v>469</v>
      </c>
      <c r="C5" s="21" t="s">
        <v>470</v>
      </c>
      <c r="D5" s="21" t="s">
        <v>471</v>
      </c>
      <c r="E5" s="22" t="s">
        <v>472</v>
      </c>
      <c r="F5" s="23" t="s">
        <v>467</v>
      </c>
    </row>
    <row r="6" spans="1:7" ht="44.25" customHeight="1" x14ac:dyDescent="0.25">
      <c r="A6" s="20" t="s">
        <v>473</v>
      </c>
      <c r="B6" s="17" t="s">
        <v>474</v>
      </c>
      <c r="C6" s="17" t="s">
        <v>475</v>
      </c>
      <c r="D6" s="17" t="s">
        <v>476</v>
      </c>
      <c r="E6" s="22" t="s">
        <v>472</v>
      </c>
      <c r="F6" s="19" t="s">
        <v>467</v>
      </c>
    </row>
    <row r="7" spans="1:7" ht="69" customHeight="1" x14ac:dyDescent="0.25">
      <c r="A7" s="24" t="s">
        <v>477</v>
      </c>
      <c r="B7" s="21" t="s">
        <v>478</v>
      </c>
      <c r="C7" s="21" t="s">
        <v>479</v>
      </c>
      <c r="D7" s="21" t="s">
        <v>480</v>
      </c>
      <c r="E7" s="25" t="s">
        <v>481</v>
      </c>
      <c r="F7" s="23" t="s">
        <v>467</v>
      </c>
    </row>
    <row r="8" spans="1:7" ht="72" customHeight="1" x14ac:dyDescent="0.25">
      <c r="A8" s="20" t="s">
        <v>482</v>
      </c>
      <c r="B8" s="17" t="s">
        <v>483</v>
      </c>
      <c r="C8" s="17" t="s">
        <v>484</v>
      </c>
      <c r="D8" s="17" t="s">
        <v>485</v>
      </c>
      <c r="E8" s="22" t="s">
        <v>472</v>
      </c>
      <c r="F8" s="19" t="s">
        <v>467</v>
      </c>
    </row>
    <row r="9" spans="1:7" ht="54" customHeight="1" x14ac:dyDescent="0.25">
      <c r="A9" s="24" t="s">
        <v>486</v>
      </c>
      <c r="B9" s="21" t="s">
        <v>487</v>
      </c>
      <c r="C9" s="21" t="s">
        <v>488</v>
      </c>
      <c r="D9" s="21" t="s">
        <v>489</v>
      </c>
      <c r="E9" s="25" t="s">
        <v>481</v>
      </c>
      <c r="F9" s="23" t="s">
        <v>467</v>
      </c>
    </row>
    <row r="10" spans="1:7" ht="78.75" customHeight="1" x14ac:dyDescent="0.25">
      <c r="A10" s="20" t="s">
        <v>490</v>
      </c>
      <c r="B10" s="17" t="s">
        <v>491</v>
      </c>
      <c r="C10" s="17" t="s">
        <v>492</v>
      </c>
      <c r="D10" s="17" t="s">
        <v>493</v>
      </c>
      <c r="E10" s="22" t="s">
        <v>472</v>
      </c>
      <c r="F10" s="19" t="s">
        <v>467</v>
      </c>
    </row>
    <row r="11" spans="1:7" ht="68.25" customHeight="1" x14ac:dyDescent="0.25">
      <c r="A11" s="24" t="s">
        <v>494</v>
      </c>
      <c r="B11" s="21" t="s">
        <v>495</v>
      </c>
      <c r="C11" s="21" t="s">
        <v>496</v>
      </c>
      <c r="D11" s="21" t="s">
        <v>471</v>
      </c>
      <c r="E11" s="25" t="s">
        <v>481</v>
      </c>
      <c r="F11" s="23" t="s">
        <v>467</v>
      </c>
    </row>
    <row r="12" spans="1:7" ht="119.25" customHeight="1" x14ac:dyDescent="0.25">
      <c r="A12" s="26" t="s">
        <v>497</v>
      </c>
      <c r="B12" s="17" t="s">
        <v>498</v>
      </c>
      <c r="C12" s="17" t="s">
        <v>499</v>
      </c>
      <c r="D12" s="17" t="s">
        <v>500</v>
      </c>
      <c r="E12" s="27" t="s">
        <v>501</v>
      </c>
      <c r="F12" s="19" t="s">
        <v>467</v>
      </c>
    </row>
    <row r="13" spans="1:7" ht="72.75" customHeight="1" x14ac:dyDescent="0.25">
      <c r="A13" s="26" t="s">
        <v>502</v>
      </c>
      <c r="B13" s="21" t="s">
        <v>503</v>
      </c>
      <c r="C13" s="21" t="s">
        <v>504</v>
      </c>
      <c r="D13" s="21" t="s">
        <v>505</v>
      </c>
      <c r="E13" s="27" t="s">
        <v>501</v>
      </c>
      <c r="F13" s="23" t="s">
        <v>467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GM  Report</vt:lpstr>
      <vt:lpstr>Monthly Summary</vt:lpstr>
      <vt:lpstr>Daily Operations</vt:lpstr>
      <vt:lpstr>Staff Performace</vt:lpstr>
      <vt:lpstr>Pivot Table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Abbas</dc:creator>
  <cp:lastModifiedBy>Amaan Abbas</cp:lastModifiedBy>
  <dcterms:created xsi:type="dcterms:W3CDTF">2026-03-05T07:42:24Z</dcterms:created>
  <dcterms:modified xsi:type="dcterms:W3CDTF">2026-03-06T01:32:42Z</dcterms:modified>
</cp:coreProperties>
</file>