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Amaan laptop data\Data Science\Excel\"/>
    </mc:Choice>
  </mc:AlternateContent>
  <xr:revisionPtr revIDLastSave="0" documentId="13_ncr:1_{0AEF70BB-2D5D-4B1E-8226-58028F163799}" xr6:coauthVersionLast="47" xr6:coauthVersionMax="47" xr10:uidLastSave="{00000000-0000-0000-0000-000000000000}"/>
  <bookViews>
    <workbookView xWindow="-120" yWindow="-120" windowWidth="20730" windowHeight="11160" xr2:uid="{AE344888-73AC-4AF3-9C03-C77CE4573F6E}"/>
  </bookViews>
  <sheets>
    <sheet name="Sales_Dashboard_Mohd Amaan" sheetId="1" r:id="rId1"/>
    <sheet name="Detail1" sheetId="3" r:id="rId2"/>
    <sheet name="Pivot dara" sheetId="2" r:id="rId3"/>
  </sheets>
  <definedNames>
    <definedName name="Slicer_Region1">#N/A</definedName>
  </definedNames>
  <calcPr calcId="191029"/>
  <pivotCaches>
    <pivotCache cacheId="4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<sst xmlns="http://schemas.openxmlformats.org/spreadsheetml/2006/main" count="769" uniqueCount="179">
  <si>
    <t>Sum of Revenue</t>
  </si>
  <si>
    <t>Sum of Profit</t>
  </si>
  <si>
    <t>Date</t>
  </si>
  <si>
    <t>Jan</t>
  </si>
  <si>
    <t>Feb</t>
  </si>
  <si>
    <t>Mar</t>
  </si>
  <si>
    <t>Apr</t>
  </si>
  <si>
    <t>May</t>
  </si>
  <si>
    <t>Jun</t>
  </si>
  <si>
    <t>Jul</t>
  </si>
  <si>
    <t>Aug</t>
  </si>
  <si>
    <t>Sep</t>
  </si>
  <si>
    <t>Oct</t>
  </si>
  <si>
    <t>Nov</t>
  </si>
  <si>
    <t>Dec</t>
  </si>
  <si>
    <t>Grand Total</t>
  </si>
  <si>
    <t>Region</t>
  </si>
  <si>
    <t>East</t>
  </si>
  <si>
    <t>North</t>
  </si>
  <si>
    <t>South</t>
  </si>
  <si>
    <t>West</t>
  </si>
  <si>
    <t>Products</t>
  </si>
  <si>
    <t>Fridge</t>
  </si>
  <si>
    <t>Laptop</t>
  </si>
  <si>
    <t>Mobile</t>
  </si>
  <si>
    <t>RO Purifier</t>
  </si>
  <si>
    <t>Washing Machine</t>
  </si>
  <si>
    <t>LED TV</t>
  </si>
  <si>
    <t>Sales Performance Dashboard — 2024</t>
  </si>
  <si>
    <t>Order_ID</t>
  </si>
  <si>
    <t>Salesperson</t>
  </si>
  <si>
    <t>Product</t>
  </si>
  <si>
    <t>Category</t>
  </si>
  <si>
    <t>Units</t>
  </si>
  <si>
    <t>Unit_Price</t>
  </si>
  <si>
    <t>Discount_%</t>
  </si>
  <si>
    <t>Revenue</t>
  </si>
  <si>
    <t>COGS</t>
  </si>
  <si>
    <t>Profit</t>
  </si>
  <si>
    <t>Date2</t>
  </si>
  <si>
    <t>Month</t>
  </si>
  <si>
    <t>Year</t>
  </si>
  <si>
    <t>Profit Margin</t>
  </si>
  <si>
    <t>Month Txt</t>
  </si>
  <si>
    <t>ORD-1006</t>
  </si>
  <si>
    <t>Nisha</t>
  </si>
  <si>
    <t>Keyboard</t>
  </si>
  <si>
    <t>Electronics</t>
  </si>
  <si>
    <t>ORD-1008</t>
  </si>
  <si>
    <t>Sneha</t>
  </si>
  <si>
    <t>ORD-1009</t>
  </si>
  <si>
    <t>Priya</t>
  </si>
  <si>
    <t>Appliances</t>
  </si>
  <si>
    <t>ORD-1010</t>
  </si>
  <si>
    <t>Anjali</t>
  </si>
  <si>
    <t>ORD-1014</t>
  </si>
  <si>
    <t>Deepak</t>
  </si>
  <si>
    <t>ORD-1015</t>
  </si>
  <si>
    <t>Mixer</t>
  </si>
  <si>
    <t>ORD-1016</t>
  </si>
  <si>
    <t>Ravi</t>
  </si>
  <si>
    <t>ORD-1017</t>
  </si>
  <si>
    <t>ORD-1021</t>
  </si>
  <si>
    <t>Amit</t>
  </si>
  <si>
    <t>ORD-1022</t>
  </si>
  <si>
    <t>ORD-1025</t>
  </si>
  <si>
    <t>Headphones</t>
  </si>
  <si>
    <t>ORD-1026</t>
  </si>
  <si>
    <t>ORD-1027</t>
  </si>
  <si>
    <t>ORD-1031</t>
  </si>
  <si>
    <t>ORD-1035</t>
  </si>
  <si>
    <t>ORD-1039</t>
  </si>
  <si>
    <t>ORD-1051</t>
  </si>
  <si>
    <t>Karan</t>
  </si>
  <si>
    <t>ORD-1052</t>
  </si>
  <si>
    <t>Tablet</t>
  </si>
  <si>
    <t>ORD-1053</t>
  </si>
  <si>
    <t>ORD-1056</t>
  </si>
  <si>
    <t>ORD-1057</t>
  </si>
  <si>
    <t>ORD-1058</t>
  </si>
  <si>
    <t>ORD-1059</t>
  </si>
  <si>
    <t>ORD-1060</t>
  </si>
  <si>
    <t>ORD-1071</t>
  </si>
  <si>
    <t>ORD-1072</t>
  </si>
  <si>
    <t>ORD-1074</t>
  </si>
  <si>
    <t>ORD-1075</t>
  </si>
  <si>
    <t>ORD-1078</t>
  </si>
  <si>
    <t>ORD-1082</t>
  </si>
  <si>
    <t>ORD-1083</t>
  </si>
  <si>
    <t>ORD-1085</t>
  </si>
  <si>
    <t>ORD-1094</t>
  </si>
  <si>
    <t>ORD-1095</t>
  </si>
  <si>
    <t>ORD-1113</t>
  </si>
  <si>
    <t>ORD-1116</t>
  </si>
  <si>
    <t>ORD-1119</t>
  </si>
  <si>
    <t>ORD-1000</t>
  </si>
  <si>
    <t>ORD-1001</t>
  </si>
  <si>
    <t>ORD-1002</t>
  </si>
  <si>
    <t>ORD-1004</t>
  </si>
  <si>
    <t>ORD-1019</t>
  </si>
  <si>
    <t>ORD-1020</t>
  </si>
  <si>
    <t>ORD-1024</t>
  </si>
  <si>
    <t>ORD-1028</t>
  </si>
  <si>
    <t>ORD-1032</t>
  </si>
  <si>
    <t>ORD-1034</t>
  </si>
  <si>
    <t>ORD-1037</t>
  </si>
  <si>
    <t>ORD-1042</t>
  </si>
  <si>
    <t>ORD-1047</t>
  </si>
  <si>
    <t>ORD-1049</t>
  </si>
  <si>
    <t>ORD-1050</t>
  </si>
  <si>
    <t>ORD-1054</t>
  </si>
  <si>
    <t>ORD-1064</t>
  </si>
  <si>
    <t>ORD-1070</t>
  </si>
  <si>
    <t>ORD-1087</t>
  </si>
  <si>
    <t>ORD-1089</t>
  </si>
  <si>
    <t>ORD-1096</t>
  </si>
  <si>
    <t>ORD-1099</t>
  </si>
  <si>
    <t>ORD-1102</t>
  </si>
  <si>
    <t>ORD-1108</t>
  </si>
  <si>
    <t>ORD-1109</t>
  </si>
  <si>
    <t>ORD-1112</t>
  </si>
  <si>
    <t>ORD-1115</t>
  </si>
  <si>
    <t>ORD-1003</t>
  </si>
  <si>
    <t>ORD-1005</t>
  </si>
  <si>
    <t>ORD-1011</t>
  </si>
  <si>
    <t>ORD-1012</t>
  </si>
  <si>
    <t>ORD-1013</t>
  </si>
  <si>
    <t>ORD-1018</t>
  </si>
  <si>
    <t>ORD-1029</t>
  </si>
  <si>
    <t>ORD-1033</t>
  </si>
  <si>
    <t>ORD-1041</t>
  </si>
  <si>
    <t>ORD-1044</t>
  </si>
  <si>
    <t>ORD-1048</t>
  </si>
  <si>
    <t>ORD-1055</t>
  </si>
  <si>
    <t>ORD-1062</t>
  </si>
  <si>
    <t>ORD-1065</t>
  </si>
  <si>
    <t>ORD-1066</t>
  </si>
  <si>
    <t>ORD-1068</t>
  </si>
  <si>
    <t>ORD-1076</t>
  </si>
  <si>
    <t>ORD-1077</t>
  </si>
  <si>
    <t>ORD-1080</t>
  </si>
  <si>
    <t>ORD-1081</t>
  </si>
  <si>
    <t>ORD-1086</t>
  </si>
  <si>
    <t>ORD-1091</t>
  </si>
  <si>
    <t>ORD-1097</t>
  </si>
  <si>
    <t>ORD-1101</t>
  </si>
  <si>
    <t>ORD-1103</t>
  </si>
  <si>
    <t>ORD-1106</t>
  </si>
  <si>
    <t>ORD-1110</t>
  </si>
  <si>
    <t>ORD-1111</t>
  </si>
  <si>
    <t>ORD-1114</t>
  </si>
  <si>
    <t>ORD-1007</t>
  </si>
  <si>
    <t>ORD-1023</t>
  </si>
  <si>
    <t>ORD-1030</t>
  </si>
  <si>
    <t>ORD-1036</t>
  </si>
  <si>
    <t>ORD-1038</t>
  </si>
  <si>
    <t>ORD-1040</t>
  </si>
  <si>
    <t>ORD-1043</t>
  </si>
  <si>
    <t>ORD-1045</t>
  </si>
  <si>
    <t>ORD-1046</t>
  </si>
  <si>
    <t>ORD-1061</t>
  </si>
  <si>
    <t>ORD-1063</t>
  </si>
  <si>
    <t>ORD-1067</t>
  </si>
  <si>
    <t>ORD-1069</t>
  </si>
  <si>
    <t>ORD-1073</t>
  </si>
  <si>
    <t>ORD-1079</t>
  </si>
  <si>
    <t>ORD-1084</t>
  </si>
  <si>
    <t>ORD-1088</t>
  </si>
  <si>
    <t>ORD-1090</t>
  </si>
  <si>
    <t>ORD-1092</t>
  </si>
  <si>
    <t>ORD-1093</t>
  </si>
  <si>
    <t>ORD-1098</t>
  </si>
  <si>
    <t>ORD-1100</t>
  </si>
  <si>
    <t>ORD-1104</t>
  </si>
  <si>
    <t>ORD-1105</t>
  </si>
  <si>
    <t>ORD-1107</t>
  </si>
  <si>
    <t>ORD-1117</t>
  </si>
  <si>
    <t>ORD-1118</t>
  </si>
  <si>
    <t>Details for 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</si>
</sst>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14009]yyyy/mm/dd;@"/>
    <numFmt numFmtId="166" formatCode="0.0%"/>
  </numFmts>
  <fonts count="7" x14ac:knownFonts="1">
    <font>
      <sz val="11"/>
      <color theme="1"/>
      <name val="Aptos Narrow"/>
      <family val="2"/>
      <scheme val="minor"/>
    </font>
    <font>
      <b/>
      <sz val="11"/>
      <color theme="1"/>
      <name val="Aptos Narrow"/>
      <family val="2"/>
      <scheme val="minor"/>
    </font>
    <font>
      <sz val="22"/>
      <color theme="1"/>
      <name val="Aptos Narrow"/>
      <family val="2"/>
      <scheme val="minor"/>
    </font>
    <font>
      <sz val="26"/>
      <color theme="1"/>
      <name val="Aptos Narrow"/>
      <family val="2"/>
      <scheme val="minor"/>
    </font>
    <font>
      <b/>
      <sz val="28"/>
      <color theme="0"/>
      <name val="Aptos Narrow"/>
      <family val="2"/>
      <scheme val="minor"/>
    </font>
    <font>
      <b/>
      <sz val="36"/>
      <color theme="0"/>
      <name val="Aptos Narrow"/>
      <family val="2"/>
      <scheme val="minor"/>
    </font>
    <font>
      <sz val="20"/>
      <color rgb="FFFFFFFF"/>
      <name val="Aptos Narrow"/>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164" fontId="2" fillId="0" borderId="0" xfId="0" applyNumberFormat="1" applyFont="1"/>
    <xf numFmtId="0" fontId="2" fillId="0" borderId="0" xfId="0" applyFont="1" applyAlignment="1">
      <alignment horizontal="left"/>
    </xf>
    <xf numFmtId="0" fontId="2" fillId="0" borderId="0" xfId="0" applyFont="1" applyAlignment="1">
      <alignment horizontal="left" indent="1"/>
    </xf>
    <xf numFmtId="0" fontId="2" fillId="0" borderId="0" xfId="0" pivotButton="1" applyFont="1"/>
    <xf numFmtId="0" fontId="2" fillId="0" borderId="0" xfId="0" applyNumberFormat="1" applyFont="1"/>
    <xf numFmtId="0" fontId="3" fillId="0" borderId="0" xfId="0" applyFont="1" applyAlignment="1"/>
    <xf numFmtId="0" fontId="5" fillId="2" borderId="0" xfId="0" applyFont="1" applyFill="1" applyAlignment="1">
      <alignment horizontal="center"/>
    </xf>
    <xf numFmtId="14" fontId="0" fillId="0" borderId="0" xfId="0" applyNumberFormat="1"/>
    <xf numFmtId="0" fontId="1" fillId="0" borderId="0" xfId="0" applyFont="1"/>
    <xf numFmtId="0" fontId="6" fillId="0" borderId="0" xfId="0" applyFont="1"/>
    <xf numFmtId="0" fontId="4" fillId="0" borderId="0" xfId="0" applyFont="1" applyFill="1" applyAlignment="1"/>
  </cellXfs>
  <cellStyles count="1">
    <cellStyle name="Normal" xfId="0" builtinId="0"/>
  </cellStyles>
  <dxfs count="23">
    <dxf>
      <numFmt numFmtId="19" formatCode="dd/mm/yyyy"/>
    </dxf>
    <dxf>
      <font>
        <sz val="22"/>
      </font>
    </dxf>
    <dxf>
      <font>
        <sz val="22"/>
      </font>
    </dxf>
    <dxf>
      <font>
        <sz val="22"/>
      </font>
    </dxf>
    <dxf>
      <font>
        <sz val="22"/>
      </font>
    </dxf>
    <dxf>
      <font>
        <sz val="22"/>
      </font>
    </dxf>
    <dxf>
      <font>
        <sz val="22"/>
      </font>
    </dxf>
    <dxf>
      <numFmt numFmtId="164" formatCode="&quot;₹&quot;\ #,##0"/>
    </dxf>
    <dxf>
      <font>
        <sz val="22"/>
      </font>
    </dxf>
    <dxf>
      <font>
        <sz val="22"/>
      </font>
    </dxf>
    <dxf>
      <font>
        <sz val="22"/>
      </font>
    </dxf>
    <dxf>
      <font>
        <sz val="22"/>
      </font>
    </dxf>
    <dxf>
      <font>
        <sz val="22"/>
      </font>
    </dxf>
    <dxf>
      <font>
        <sz val="22"/>
      </font>
    </dxf>
    <dxf>
      <numFmt numFmtId="164" formatCode="&quot;₹&quot;\ #,##0"/>
    </dxf>
    <dxf>
      <font>
        <sz val="22"/>
      </font>
    </dxf>
    <dxf>
      <font>
        <sz val="22"/>
      </font>
    </dxf>
    <dxf>
      <font>
        <sz val="22"/>
      </font>
    </dxf>
    <dxf>
      <font>
        <sz val="22"/>
      </font>
    </dxf>
    <dxf>
      <font>
        <sz val="22"/>
      </font>
    </dxf>
    <dxf>
      <font>
        <sz val="22"/>
      </font>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[Sales_Dashboard_MOHD AMAAN.xlsx]Pivot dara!PivotTable6</c:name>
    <c:fmtId val="6"/>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IN" sz="2000" b="1">
                <a:solidFill>
                  <a:sysClr val="windowText" lastClr="000000"/>
                </a:solidFill>
              </a:rPr>
              <a:t>Monthly Revenue Trend - 2024</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558410494221202E-2"/>
          <c:y val="0.19866463763065778"/>
          <c:w val="0.87946092466590298"/>
          <c:h val="0.69383528012759044"/>
        </c:manualLayout>
      </c:layout>
      <c:line3DChart>
        <c:grouping val="standard"/>
        <c:varyColors val="0"/>
        <c:ser>
          <c:idx val="0"/>
          <c:order val="0"/>
          <c:tx>
            <c:strRef>
              <c:f>'Pivot dara'!$B$1</c:f>
              <c:strCache>
                <c:ptCount val="1"/>
                <c:pt idx="0">
                  <c:v>Total</c:v>
                </c:pt>
              </c:strCache>
            </c:strRef>
          </c:tx>
          <c:spPr>
            <a:solidFill>
              <a:schemeClr val="accent2"/>
            </a:solidFill>
            <a:ln w="25400">
              <a:noFill/>
            </a:ln>
            <a:effectLst/>
            <a:sp3d/>
          </c:spPr>
          <c:cat>
            <c:multiLvlStrRef>
              <c:f>'Pivot dara'!$A$2:$A$15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dara'!$B$2:$B$15</c:f>
              <c:numCache>
                <c:formatCode>"₹"\ #,##0</c:formatCode>
                <c:ptCount val="12"/>
                <c:pt idx="0">
                  <c:v>1135700</c:v>
                </c:pt>
                <c:pt idx="1">
                  <c:v>1420085</c:v>
                </c:pt>
                <c:pt idx="2">
                  <c:v>1118175</c:v>
                </c:pt>
                <c:pt idx="3">
                  <c:v>1028850</c:v>
                </c:pt>
                <c:pt idx="4">
                  <c:v>1018850</c:v>
                </c:pt>
                <c:pt idx="5">
                  <c:v>1515220</c:v>
                </c:pt>
                <c:pt idx="6">
                  <c:v>1681460</c:v>
                </c:pt>
                <c:pt idx="7">
                  <c:v>1551600</c:v>
                </c:pt>
                <c:pt idx="8">
                  <c:v>1047850</c:v>
                </c:pt>
                <c:pt idx="9">
                  <c:v>1062250</c:v>
                </c:pt>
                <c:pt idx="10">
                  <c:v>1964050</c:v>
                </c:pt>
                <c:pt idx="11">
                  <c:v>1515350</c:v>
                </c:pt>
              </c:numCache>
            </c:numRef>
          </c:val>
          <c:smooth val="0"/>
          <c:extLst>
            <c:ext xmlns:c16="http://schemas.microsoft.com/office/drawing/2014/chart" uri="{C3380CC4-5D6E-409C-BE32-E72D297353CC}">
              <c16:uniqueId val="{00000001-D7F4-4993-89BD-071C33B1D505}"/>
            </c:ext>
          </c:extLst>
        </c:ser>
        <c:dLbls>
          <c:showLegendKey val="0"/>
          <c:showVal val="0"/>
          <c:showCatName val="0"/>
          <c:showSerName val="0"/>
          <c:showPercent val="0"/>
          <c:showBubbleSize val="0"/>
        </c:dLbls>
        <c:axId val="1784615696"/>
        <c:axId val="1784641136"/>
        <c:axId val="1867711456"/>
      </c:line3DChart>
      <c:catAx>
        <c:axId val="1784615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84641136"/>
        <c:crosses val="autoZero"/>
        <c:auto val="1"/>
        <c:lblAlgn val="ctr"/>
        <c:lblOffset val="100"/>
        <c:noMultiLvlLbl val="0"/>
      </c:catAx>
      <c:valAx>
        <c:axId val="1784641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84615696"/>
        <c:crosses val="autoZero"/>
        <c:crossBetween val="between"/>
      </c:valAx>
      <c:serAx>
        <c:axId val="186771145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64113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[Sales_Dashboard_MOHD AMAAN.xlsx]Pivot dara!PivotTable3</c:name>
    <c:fmtId val="11"/>
  </c:pivotSource>
  <c:chart>
    <c:title>
      <c:tx>
        <c:rich>
          <a:bodyPr rot="0" spcFirstLastPara="1" vertOverflow="ellipsis" vert="horz" wrap="square" anchor="ctr" anchorCtr="1"/>
          <a:lstStyle/>
          <a:p>
            <a:pPr>
              <a:defRPr sz="2800" b="1" i="0" u="none" strike="noStrike" kern="1200" spc="0" baseline="0">
                <a:solidFill>
                  <a:sysClr val="windowText" lastClr="000000"/>
                </a:solidFill>
                <a:latin typeface="+mn-lt"/>
                <a:ea typeface="+mn-ea"/>
                <a:cs typeface="+mn-cs"/>
              </a:defRPr>
            </a:pPr>
            <a:r>
              <a:rPr lang="en-IN" sz="2800" b="1">
                <a:solidFill>
                  <a:sysClr val="windowText" lastClr="000000"/>
                </a:solidFill>
              </a:rPr>
              <a:t>Revenu</a:t>
            </a:r>
            <a:r>
              <a:rPr lang="en-IN" sz="2800" b="1" baseline="0">
                <a:solidFill>
                  <a:sysClr val="windowText" lastClr="000000"/>
                </a:solidFill>
              </a:rPr>
              <a:t>e by Region</a:t>
            </a:r>
            <a:endParaRPr lang="en-IN" sz="2800" b="1">
              <a:solidFill>
                <a:sysClr val="windowText" lastClr="000000"/>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dara'!$E$2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dara'!$D$3:$D$7</c:f>
              <c:strCache>
                <c:ptCount val="4"/>
                <c:pt idx="0">
                  <c:v>East</c:v>
                </c:pt>
                <c:pt idx="1">
                  <c:v>North</c:v>
                </c:pt>
                <c:pt idx="2">
                  <c:v>South</c:v>
                </c:pt>
                <c:pt idx="3">
                  <c:v>West</c:v>
                </c:pt>
              </c:strCache>
            </c:strRef>
          </c:cat>
          <c:val>
            <c:numRef>
              <c:f>'Pivot dara'!$E$3:$E$7</c:f>
              <c:numCache>
                <c:formatCode>"₹"\ #,##0</c:formatCode>
                <c:ptCount val="4"/>
                <c:pt idx="0">
                  <c:v>5288255</c:v>
                </c:pt>
                <c:pt idx="1">
                  <c:v>3216910</c:v>
                </c:pt>
                <c:pt idx="2">
                  <c:v>4685775</c:v>
                </c:pt>
                <c:pt idx="3">
                  <c:v>2868500</c:v>
                </c:pt>
              </c:numCache>
            </c:numRef>
          </c:val>
          <c:extLst>
            <c:ext xmlns:c16="http://schemas.microsoft.com/office/drawing/2014/chart" uri="{C3380CC4-5D6E-409C-BE32-E72D297353CC}">
              <c16:uniqueId val="{00000000-47C9-4ED3-845E-04DA5E042191}"/>
            </c:ext>
          </c:extLst>
        </c:ser>
        <c:dLbls>
          <c:dLblPos val="outEnd"/>
          <c:showLegendKey val="0"/>
          <c:showVal val="1"/>
          <c:showCatName val="0"/>
          <c:showSerName val="0"/>
          <c:showPercent val="0"/>
          <c:showBubbleSize val="0"/>
        </c:dLbls>
        <c:gapWidth val="182"/>
        <c:axId val="32301088"/>
        <c:axId val="32315008"/>
      </c:barChart>
      <c:catAx>
        <c:axId val="32301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2315008"/>
        <c:crosses val="autoZero"/>
        <c:auto val="1"/>
        <c:lblAlgn val="ctr"/>
        <c:lblOffset val="100"/>
        <c:noMultiLvlLbl val="0"/>
      </c:catAx>
      <c:valAx>
        <c:axId val="32315008"/>
        <c:scaling>
          <c:orientation val="minMax"/>
        </c:scaling>
        <c:delete val="1"/>
        <c:axPos val="b"/>
        <c:numFmt formatCode="&quot;₹&quot;\ #,##0" sourceLinked="1"/>
        <c:majorTickMark val="out"/>
        <c:minorTickMark val="none"/>
        <c:tickLblPos val="nextTo"/>
        <c:crossAx val="3230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en-IN" sz="2400" b="1" baseline="0">
                <a:solidFill>
                  <a:sysClr val="windowText" lastClr="000000"/>
                </a:solidFill>
              </a:rPr>
              <a:t>Top 5 Products by Profit</a:t>
            </a:r>
            <a:endParaRPr lang="en-IN" sz="2400" b="1">
              <a:solidFill>
                <a:sysClr val="windowText" lastClr="000000"/>
              </a:solidFill>
            </a:endParaRPr>
          </a:p>
        </c:rich>
      </c:tx>
      <c:layout>
        <c:manualLayout>
          <c:xMode val="edge"/>
          <c:yMode val="edge"/>
          <c:x val="0.23830788177226167"/>
          <c:y val="0.3621041839615308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57932626129181664"/>
          <c:y val="8.2430698991630635E-2"/>
          <c:w val="0.55961775192864782"/>
          <c:h val="0.91556751598809183"/>
        </c:manualLayout>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E1-47B7-A3D5-3AF2A3258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E1-47B7-A3D5-3AF2A32589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E1-47B7-A3D5-3AF2A32589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E1-47B7-A3D5-3AF2A32589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E1-47B7-A3D5-3AF2A32589D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Fridge</c:v>
              </c:pt>
              <c:pt idx="1">
                <c:v>Laptop</c:v>
              </c:pt>
              <c:pt idx="2">
                <c:v>Mobile</c:v>
              </c:pt>
              <c:pt idx="3">
                <c:v>RO Purifier</c:v>
              </c:pt>
              <c:pt idx="4">
                <c:v>Washing Machine</c:v>
              </c:pt>
            </c:strLit>
          </c:cat>
          <c:val>
            <c:numLit>
              <c:formatCode>General</c:formatCode>
              <c:ptCount val="5"/>
              <c:pt idx="0">
                <c:v>1165600</c:v>
              </c:pt>
              <c:pt idx="1">
                <c:v>718500</c:v>
              </c:pt>
              <c:pt idx="2">
                <c:v>827900</c:v>
              </c:pt>
              <c:pt idx="3">
                <c:v>389100</c:v>
              </c:pt>
              <c:pt idx="4">
                <c:v>752800</c:v>
              </c:pt>
            </c:numLit>
          </c:val>
          <c:extLst>
            <c:ext xmlns:c16="http://schemas.microsoft.com/office/drawing/2014/chart" uri="{C3380CC4-5D6E-409C-BE32-E72D297353CC}">
              <c16:uniqueId val="{0000000A-7DE1-47B7-A3D5-3AF2A32589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4.9001888479278197E-3"/>
          <c:y val="4.7649189024686706E-2"/>
          <c:w val="0.17209718985397696"/>
          <c:h val="0.9341141458032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476251</xdr:colOff>
      <xdr:row>26</xdr:row>
      <xdr:rowOff>71437</xdr:rowOff>
    </xdr:from>
    <xdr:to>
      <xdr:col>8</xdr:col>
      <xdr:colOff>151838</xdr:colOff>
      <xdr:row>52</xdr:row>
      <xdr:rowOff>128202</xdr:rowOff>
    </xdr:to>
    <xdr:graphicFrame macro="">
      <xdr:nvGraphicFramePr>
        <xdr:cNvPr id="2" name="Chart 1">
          <a:extLst>
            <a:ext uri="{FF2B5EF4-FFF2-40B4-BE49-F238E27FC236}">
              <a16:creationId xmlns:a16="http://schemas.microsoft.com/office/drawing/2014/main" id="{9B6402CD-1ED9-47D1-BFB0-5A0634B1F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371322</xdr:colOff>
      <xdr:row>34</xdr:row>
      <xdr:rowOff>47357</xdr:rowOff>
    </xdr:from>
    <xdr:to>
      <xdr:col>20</xdr:col>
      <xdr:colOff>84554</xdr:colOff>
      <xdr:row>53</xdr:row>
      <xdr:rowOff>88088</xdr:rowOff>
    </xdr:to>
    <xdr:graphicFrame macro="">
      <xdr:nvGraphicFramePr>
        <xdr:cNvPr id="3" name="Chart 2">
          <a:extLst>
            <a:ext uri="{FF2B5EF4-FFF2-40B4-BE49-F238E27FC236}">
              <a16:creationId xmlns:a16="http://schemas.microsoft.com/office/drawing/2014/main" id="{602CE618-9114-4E6A-9A70-8C992FE5A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1123518</xdr:colOff>
      <xdr:row>14</xdr:row>
      <xdr:rowOff>41680</xdr:rowOff>
    </xdr:from>
    <xdr:to>
      <xdr:col>19</xdr:col>
      <xdr:colOff>419585</xdr:colOff>
      <xdr:row>31</xdr:row>
      <xdr:rowOff>145031</xdr:rowOff>
    </xdr:to>
    <xdr:graphicFrame macro="">
      <xdr:nvGraphicFramePr>
        <xdr:cNvPr id="4" name="Chart 3">
          <a:extLst>
            <a:ext uri="{FF2B5EF4-FFF2-40B4-BE49-F238E27FC236}">
              <a16:creationId xmlns:a16="http://schemas.microsoft.com/office/drawing/2014/main" id="{BC227C8E-3223-449C-A16B-5B69DF98B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190500</xdr:colOff>
      <xdr:row>15</xdr:row>
      <xdr:rowOff>12980</xdr:rowOff>
    </xdr:from>
    <xdr:to>
      <xdr:col>8</xdr:col>
      <xdr:colOff>95250</xdr:colOff>
      <xdr:row>23</xdr:row>
      <xdr:rowOff>71437</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5AD06049-F6BE-4731-BCDF-98DF570A89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500" y="3037168"/>
              <a:ext cx="13096875" cy="1582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245089</xdr:colOff>
      <xdr:row>4</xdr:row>
      <xdr:rowOff>125972</xdr:rowOff>
    </xdr:from>
    <xdr:to>
      <xdr:col>2</xdr:col>
      <xdr:colOff>1095374</xdr:colOff>
      <xdr:row>12</xdr:row>
      <xdr:rowOff>118489</xdr:rowOff>
    </xdr:to>
    <xdr:sp macro="" textlink="">
      <xdr:nvSpPr>
        <xdr:cNvPr id="7" name="Rectangle 6">
          <a:extLst>
            <a:ext uri="{FF2B5EF4-FFF2-40B4-BE49-F238E27FC236}">
              <a16:creationId xmlns:a16="http://schemas.microsoft.com/office/drawing/2014/main" id="{24C05683-7099-FA0F-FD76-47FB1E6B174B}"/>
            </a:ext>
          </a:extLst>
        </xdr:cNvPr>
        <xdr:cNvSpPr/>
      </xdr:nvSpPr>
      <xdr:spPr>
        <a:xfrm>
          <a:off x="245089" y="887972"/>
          <a:ext cx="4684098" cy="1683205"/>
        </a:xfrm>
        <a:prstGeom prst="rect">
          <a:avLst/>
        </a:prstGeom>
        <a:solidFill>
          <a:schemeClr val="accent1"/>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Sum of Revenue </a:t>
          </a:r>
        </a:p>
        <a:p>
          <a:pPr algn="ctr"/>
          <a:r>
            <a:rPr lang="en-IN" sz="2000" b="0" i="0" u="none" strike="noStrike">
              <a:solidFill>
                <a:schemeClr val="lt1"/>
              </a:solidFill>
              <a:effectLst/>
              <a:latin typeface="+mn-lt"/>
              <a:ea typeface="+mn-ea"/>
              <a:cs typeface="+mn-cs"/>
            </a:rPr>
            <a:t>16059440</a:t>
          </a:r>
          <a:endParaRPr lang="en-IN" sz="2000" b="0"/>
        </a:p>
      </xdr:txBody>
    </xdr:sp>
    <xdr:clientData/>
  </xdr:twoCellAnchor>
  <xdr:twoCellAnchor>
    <xdr:from>
      <xdr:col>2</xdr:col>
      <xdr:colOff>1359525</xdr:colOff>
      <xdr:row>4</xdr:row>
      <xdr:rowOff>104880</xdr:rowOff>
    </xdr:from>
    <xdr:to>
      <xdr:col>5</xdr:col>
      <xdr:colOff>971063</xdr:colOff>
      <xdr:row>12</xdr:row>
      <xdr:rowOff>98992</xdr:rowOff>
    </xdr:to>
    <xdr:sp macro="" textlink="">
      <xdr:nvSpPr>
        <xdr:cNvPr id="8" name="Rectangle 7">
          <a:extLst>
            <a:ext uri="{FF2B5EF4-FFF2-40B4-BE49-F238E27FC236}">
              <a16:creationId xmlns:a16="http://schemas.microsoft.com/office/drawing/2014/main" id="{97C05B26-A4D9-C42B-926A-3DFA9AEE7DE9}"/>
            </a:ext>
          </a:extLst>
        </xdr:cNvPr>
        <xdr:cNvSpPr/>
      </xdr:nvSpPr>
      <xdr:spPr>
        <a:xfrm>
          <a:off x="5193338" y="866880"/>
          <a:ext cx="4683600" cy="1684800"/>
        </a:xfrm>
        <a:prstGeom prst="rect">
          <a:avLst/>
        </a:prstGeom>
        <a:solidFill>
          <a:schemeClr val="accent1"/>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i="0" u="none" strike="noStrike">
              <a:solidFill>
                <a:schemeClr val="lt1"/>
              </a:solidFill>
              <a:effectLst/>
              <a:latin typeface="+mn-lt"/>
              <a:ea typeface="+mn-ea"/>
              <a:cs typeface="+mn-cs"/>
            </a:rPr>
            <a:t>Sum of Profit </a:t>
          </a:r>
        </a:p>
        <a:p>
          <a:pPr marL="0" indent="0" algn="ctr"/>
          <a:r>
            <a:rPr lang="en-IN" sz="2000" b="1" i="0" u="none" strike="noStrike">
              <a:solidFill>
                <a:schemeClr val="lt1"/>
              </a:solidFill>
              <a:effectLst/>
              <a:latin typeface="+mn-lt"/>
              <a:ea typeface="+mn-ea"/>
              <a:cs typeface="+mn-cs"/>
            </a:rPr>
            <a:t>1530655 </a:t>
          </a:r>
        </a:p>
      </xdr:txBody>
    </xdr:sp>
    <xdr:clientData/>
  </xdr:twoCellAnchor>
  <xdr:twoCellAnchor>
    <xdr:from>
      <xdr:col>5</xdr:col>
      <xdr:colOff>1179409</xdr:colOff>
      <xdr:row>4</xdr:row>
      <xdr:rowOff>123609</xdr:rowOff>
    </xdr:from>
    <xdr:to>
      <xdr:col>9</xdr:col>
      <xdr:colOff>100384</xdr:colOff>
      <xdr:row>12</xdr:row>
      <xdr:rowOff>117721</xdr:rowOff>
    </xdr:to>
    <xdr:sp macro="" textlink="">
      <xdr:nvSpPr>
        <xdr:cNvPr id="9" name="Rectangle 8">
          <a:extLst>
            <a:ext uri="{FF2B5EF4-FFF2-40B4-BE49-F238E27FC236}">
              <a16:creationId xmlns:a16="http://schemas.microsoft.com/office/drawing/2014/main" id="{74A445DB-58EF-D88B-E62F-189EAB2AB16F}"/>
            </a:ext>
          </a:extLst>
        </xdr:cNvPr>
        <xdr:cNvSpPr/>
      </xdr:nvSpPr>
      <xdr:spPr>
        <a:xfrm>
          <a:off x="10085284" y="885609"/>
          <a:ext cx="4683600" cy="1684800"/>
        </a:xfrm>
        <a:prstGeom prst="rect">
          <a:avLst/>
        </a:prstGeom>
        <a:solidFill>
          <a:schemeClr val="accent1"/>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i="0" u="none" strike="noStrike">
              <a:solidFill>
                <a:schemeClr val="lt1"/>
              </a:solidFill>
              <a:effectLst/>
              <a:latin typeface="+mn-lt"/>
              <a:ea typeface="+mn-ea"/>
              <a:cs typeface="+mn-cs"/>
            </a:rPr>
            <a:t>Best Region</a:t>
          </a:r>
        </a:p>
        <a:p>
          <a:pPr marL="0" indent="0" algn="ctr"/>
          <a:r>
            <a:rPr lang="en-IN" sz="2000" b="0" i="0" u="none" strike="noStrike">
              <a:solidFill>
                <a:schemeClr val="lt1"/>
              </a:solidFill>
              <a:effectLst/>
              <a:latin typeface="+mn-lt"/>
              <a:ea typeface="+mn-ea"/>
              <a:cs typeface="+mn-cs"/>
            </a:rPr>
            <a:t>East </a:t>
          </a:r>
        </a:p>
      </xdr:txBody>
    </xdr:sp>
    <xdr:clientData/>
  </xdr:twoCellAnchor>
  <xdr:twoCellAnchor>
    <xdr:from>
      <xdr:col>9</xdr:col>
      <xdr:colOff>320973</xdr:colOff>
      <xdr:row>4</xdr:row>
      <xdr:rowOff>151996</xdr:rowOff>
    </xdr:from>
    <xdr:to>
      <xdr:col>12</xdr:col>
      <xdr:colOff>694510</xdr:colOff>
      <xdr:row>12</xdr:row>
      <xdr:rowOff>146108</xdr:rowOff>
    </xdr:to>
    <xdr:sp macro="" textlink="">
      <xdr:nvSpPr>
        <xdr:cNvPr id="10" name="Rectangle 9">
          <a:extLst>
            <a:ext uri="{FF2B5EF4-FFF2-40B4-BE49-F238E27FC236}">
              <a16:creationId xmlns:a16="http://schemas.microsoft.com/office/drawing/2014/main" id="{68B1922A-60A6-0542-199E-E471D763B6BE}"/>
            </a:ext>
          </a:extLst>
        </xdr:cNvPr>
        <xdr:cNvSpPr/>
      </xdr:nvSpPr>
      <xdr:spPr>
        <a:xfrm>
          <a:off x="14989473" y="913996"/>
          <a:ext cx="4683600" cy="1684800"/>
        </a:xfrm>
        <a:prstGeom prst="rect">
          <a:avLst/>
        </a:prstGeom>
        <a:solidFill>
          <a:schemeClr val="accent1"/>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i="0" u="none" strike="noStrike">
              <a:solidFill>
                <a:schemeClr val="lt1"/>
              </a:solidFill>
              <a:effectLst/>
              <a:latin typeface="+mn-lt"/>
              <a:ea typeface="+mn-ea"/>
              <a:cs typeface="+mn-cs"/>
            </a:rPr>
            <a:t>Worst Region</a:t>
          </a:r>
        </a:p>
        <a:p>
          <a:pPr marL="0" indent="0" algn="ctr"/>
          <a:r>
            <a:rPr lang="en-IN" sz="2000" b="0" i="0" u="none" strike="noStrike">
              <a:solidFill>
                <a:schemeClr val="lt1"/>
              </a:solidFill>
              <a:effectLst/>
              <a:latin typeface="+mn-lt"/>
              <a:ea typeface="+mn-ea"/>
              <a:cs typeface="+mn-cs"/>
            </a:rPr>
            <a:t>West</a:t>
          </a:r>
        </a:p>
      </xdr:txBody>
    </xdr:sp>
    <xdr:clientData/>
  </xdr:twoCellAnchor>
  <xdr:twoCellAnchor>
    <xdr:from>
      <xdr:col>12</xdr:col>
      <xdr:colOff>911008</xdr:colOff>
      <xdr:row>4</xdr:row>
      <xdr:rowOff>141809</xdr:rowOff>
    </xdr:from>
    <xdr:to>
      <xdr:col>19</xdr:col>
      <xdr:colOff>474921</xdr:colOff>
      <xdr:row>12</xdr:row>
      <xdr:rowOff>135921</xdr:rowOff>
    </xdr:to>
    <xdr:sp macro="" textlink="">
      <xdr:nvSpPr>
        <xdr:cNvPr id="11" name="Rectangle 10">
          <a:extLst>
            <a:ext uri="{FF2B5EF4-FFF2-40B4-BE49-F238E27FC236}">
              <a16:creationId xmlns:a16="http://schemas.microsoft.com/office/drawing/2014/main" id="{2A50C04A-D127-5A70-4EDD-E9B0A1E81054}"/>
            </a:ext>
          </a:extLst>
        </xdr:cNvPr>
        <xdr:cNvSpPr/>
      </xdr:nvSpPr>
      <xdr:spPr>
        <a:xfrm>
          <a:off x="19889571" y="903809"/>
          <a:ext cx="4683600" cy="1684800"/>
        </a:xfrm>
        <a:prstGeom prst="rect">
          <a:avLst/>
        </a:prstGeom>
        <a:solidFill>
          <a:schemeClr val="accent1"/>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i="0" u="none" strike="noStrike">
              <a:solidFill>
                <a:schemeClr val="lt1"/>
              </a:solidFill>
              <a:effectLst/>
              <a:latin typeface="+mn-lt"/>
              <a:ea typeface="+mn-ea"/>
              <a:cs typeface="+mn-cs"/>
            </a:rPr>
            <a:t>Best Month </a:t>
          </a:r>
        </a:p>
        <a:p>
          <a:pPr marL="0" indent="0" algn="ctr"/>
          <a:r>
            <a:rPr lang="en-IN" sz="2000" b="0" i="0" u="none" strike="noStrike">
              <a:solidFill>
                <a:schemeClr val="lt1"/>
              </a:solidFill>
              <a:effectLst/>
              <a:latin typeface="+mn-lt"/>
              <a:ea typeface="+mn-ea"/>
              <a:cs typeface="+mn-cs"/>
            </a:rPr>
            <a:t>November</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AppData/Roaming/Microsoft/Excel/orders%20(version%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5.012293287036" createdVersion="8" refreshedVersion="8" minRefreshableVersion="3" recordCount="120" xr:uid="{87AA4C77-1D1F-4D0E-8876-D7E60DB2F7F0}">
  <cacheSource type="worksheet">
    <worksheetSource name="TSales" r:id="rId2"/>
  </cacheSource>
  <cacheFields count="18">
    <cacheField name="Order_ID" numFmtId="0">
      <sharedItems/>
    </cacheField>
    <cacheField name="Date" numFmtId="164">
      <sharedItems containsSemiMixedTypes="0" containsNonDate="0" containsDate="1" containsString="0" minDate="2024-01-01T00:00:00" maxDate="2024-12-27T00:00:00"/>
    </cacheField>
    <cacheField name="Region" numFmtId="0">
      <sharedItems count="4">
        <s v="North"/>
        <s v="South"/>
        <s v="East"/>
        <s v="West"/>
      </sharedItems>
    </cacheField>
    <cacheField name="Salesperson" numFmtId="0">
      <sharedItems count="8">
        <s v="Amit"/>
        <s v="Priya"/>
        <s v="Sneha"/>
        <s v="Deepak"/>
        <s v="Ravi"/>
        <s v="Nisha"/>
        <s v="Anjali"/>
        <s v="Karan"/>
      </sharedItems>
    </cacheField>
    <cacheField name="Product" numFmtId="0">
      <sharedItems count="10">
        <s v="Washing Machine"/>
        <s v="Keyboard"/>
        <s v="Fridge"/>
        <s v="RO Purifier"/>
        <s v="Mobile"/>
        <s v="LED TV"/>
        <s v="Mixer"/>
        <s v="Laptop"/>
        <s v="Tablet"/>
        <s v="Headphones"/>
      </sharedItems>
    </cacheField>
    <cacheField name="Category" numFmtId="0">
      <sharedItems count="2">
        <s v="Appliances"/>
        <s v="Electronics"/>
      </sharedItems>
    </cacheField>
    <cacheField name="Units" numFmtId="0">
      <sharedItems containsSemiMixedTypes="0" containsString="0" containsNumber="1" containsInteger="1" minValue="1" maxValue="15"/>
    </cacheField>
    <cacheField name="Unit_Price" numFmtId="0">
      <sharedItems containsSemiMixedTypes="0" containsString="0" containsNumber="1" containsInteger="1" minValue="1200" maxValue="55000"/>
    </cacheField>
    <cacheField name="Discount_%" numFmtId="0">
      <sharedItems containsSemiMixedTypes="0" containsString="0" containsNumber="1" containsInteger="1" minValue="0" maxValue="20"/>
    </cacheField>
    <cacheField name="Revenue" numFmtId="0">
      <sharedItems containsSemiMixedTypes="0" containsString="0" containsNumber="1" containsInteger="1" minValue="3150" maxValue="561000"/>
    </cacheField>
    <cacheField name="COGS" numFmtId="0">
      <sharedItems containsSemiMixedTypes="0" containsString="0" containsNumber="1" containsInteger="1" minValue="2000" maxValue="420000"/>
    </cacheField>
    <cacheField name="Profit" numFmtId="0">
      <sharedItems containsSemiMixedTypes="0" containsString="0" containsNumber="1" containsInteger="1" minValue="1150" maxValue="168000"/>
    </cacheField>
    <cacheField name="Date2" numFmtId="0">
      <sharedItems containsSemiMixedTypes="0" containsString="0" containsNumber="1" containsInteger="1" minValue="1" maxValue="28"/>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4" maxValue="2024" count="1">
        <n v="2024"/>
      </sharedItems>
    </cacheField>
    <cacheField name="Profit Margin" numFmtId="165">
      <sharedItems containsSemiMixedTypes="0" containsString="0" containsNumber="1" minValue="0.1875" maxValue="0.44"/>
    </cacheField>
    <cacheField name="Month Txt" numFmtId="0">
      <sharedItems count="12">
        <s v="Jan"/>
        <s v="Feb"/>
        <s v="Mar"/>
        <s v="Apr"/>
        <s v="May"/>
        <s v="Jun"/>
        <s v="Jul"/>
        <s v="Aug"/>
        <s v="Sep"/>
        <s v="Oct"/>
        <s v="Nov"/>
        <s v="Dec"/>
      </sharedItems>
    </cacheField>
    <cacheField name="Profit Margin2" numFmtId="0" formula="Profit /Revenue" databaseField="0"/>
  </cacheFields>
  <extLst>
    <ext xmlns:x14="http://schemas.microsoft.com/office/spreadsheetml/2009/9/main" uri="{725AE2AE-9491-48be-B2B4-4EB974FC3084}">
      <x14:pivotCacheDefinition pivotCacheId="1911750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1000"/>
    <d v="2024-01-21T00:00:00"/>
    <x v="0"/>
    <x v="0"/>
    <x v="0"/>
    <x v="0"/>
    <n v="4"/>
    <n v="28000"/>
    <n v="5"/>
    <n v="106400"/>
    <n v="72000"/>
    <n v="34400"/>
    <n v="21"/>
    <x v="0"/>
    <x v="0"/>
    <n v="0.32330827067669171"/>
    <x v="0"/>
  </r>
  <r>
    <s v="ORD-1001"/>
    <d v="2024-01-05T00:00:00"/>
    <x v="0"/>
    <x v="1"/>
    <x v="1"/>
    <x v="1"/>
    <n v="7"/>
    <n v="1200"/>
    <n v="0"/>
    <n v="8400"/>
    <n v="4900"/>
    <n v="3500"/>
    <n v="5"/>
    <x v="0"/>
    <x v="0"/>
    <n v="0.41666666666666669"/>
    <x v="0"/>
  </r>
  <r>
    <s v="ORD-1002"/>
    <d v="2024-01-01T00:00:00"/>
    <x v="0"/>
    <x v="2"/>
    <x v="2"/>
    <x v="0"/>
    <n v="9"/>
    <n v="32000"/>
    <n v="20"/>
    <n v="230400"/>
    <n v="180000"/>
    <n v="50400"/>
    <n v="1"/>
    <x v="0"/>
    <x v="0"/>
    <n v="0.21875"/>
    <x v="0"/>
  </r>
  <r>
    <s v="ORD-1003"/>
    <d v="2024-01-01T00:00:00"/>
    <x v="1"/>
    <x v="3"/>
    <x v="2"/>
    <x v="0"/>
    <n v="8"/>
    <n v="32000"/>
    <n v="20"/>
    <n v="204800"/>
    <n v="160000"/>
    <n v="44800"/>
    <n v="1"/>
    <x v="0"/>
    <x v="0"/>
    <n v="0.21875"/>
    <x v="0"/>
  </r>
  <r>
    <s v="ORD-1004"/>
    <d v="2024-01-09T00:00:00"/>
    <x v="0"/>
    <x v="4"/>
    <x v="3"/>
    <x v="0"/>
    <n v="6"/>
    <n v="12000"/>
    <n v="10"/>
    <n v="64800"/>
    <n v="45000"/>
    <n v="19800"/>
    <n v="9"/>
    <x v="0"/>
    <x v="0"/>
    <n v="0.30555555555555558"/>
    <x v="0"/>
  </r>
  <r>
    <s v="ORD-1005"/>
    <d v="2024-01-05T00:00:00"/>
    <x v="1"/>
    <x v="5"/>
    <x v="4"/>
    <x v="1"/>
    <n v="2"/>
    <n v="18000"/>
    <n v="15"/>
    <n v="30600"/>
    <n v="22000"/>
    <n v="8600"/>
    <n v="5"/>
    <x v="0"/>
    <x v="0"/>
    <n v="0.28104575163398693"/>
    <x v="0"/>
  </r>
  <r>
    <s v="ORD-1006"/>
    <d v="2024-01-04T00:00:00"/>
    <x v="2"/>
    <x v="5"/>
    <x v="1"/>
    <x v="1"/>
    <n v="5"/>
    <n v="1200"/>
    <n v="0"/>
    <n v="6000"/>
    <n v="3500"/>
    <n v="2500"/>
    <n v="4"/>
    <x v="0"/>
    <x v="0"/>
    <n v="0.41666666666666669"/>
    <x v="0"/>
  </r>
  <r>
    <s v="ORD-1007"/>
    <d v="2024-01-24T00:00:00"/>
    <x v="3"/>
    <x v="1"/>
    <x v="3"/>
    <x v="0"/>
    <n v="2"/>
    <n v="12000"/>
    <n v="20"/>
    <n v="19200"/>
    <n v="15000"/>
    <n v="4200"/>
    <n v="24"/>
    <x v="0"/>
    <x v="0"/>
    <n v="0.21875"/>
    <x v="0"/>
  </r>
  <r>
    <s v="ORD-1008"/>
    <d v="2024-01-10T00:00:00"/>
    <x v="2"/>
    <x v="2"/>
    <x v="4"/>
    <x v="1"/>
    <n v="1"/>
    <n v="18000"/>
    <n v="5"/>
    <n v="17100"/>
    <n v="11000"/>
    <n v="6100"/>
    <n v="10"/>
    <x v="0"/>
    <x v="0"/>
    <n v="0.35672514619883039"/>
    <x v="0"/>
  </r>
  <r>
    <s v="ORD-1009"/>
    <d v="2024-01-25T00:00:00"/>
    <x v="2"/>
    <x v="1"/>
    <x v="2"/>
    <x v="0"/>
    <n v="14"/>
    <n v="32000"/>
    <n v="0"/>
    <n v="448000"/>
    <n v="280000"/>
    <n v="168000"/>
    <n v="25"/>
    <x v="0"/>
    <x v="0"/>
    <n v="0.375"/>
    <x v="0"/>
  </r>
  <r>
    <s v="ORD-1010"/>
    <d v="2024-02-13T00:00:00"/>
    <x v="2"/>
    <x v="6"/>
    <x v="5"/>
    <x v="1"/>
    <n v="3"/>
    <n v="40000"/>
    <n v="10"/>
    <n v="108000"/>
    <n v="78000"/>
    <n v="30000"/>
    <n v="13"/>
    <x v="1"/>
    <x v="0"/>
    <n v="0.27777777777777779"/>
    <x v="1"/>
  </r>
  <r>
    <s v="ORD-1011"/>
    <d v="2024-02-12T00:00:00"/>
    <x v="1"/>
    <x v="7"/>
    <x v="4"/>
    <x v="1"/>
    <n v="10"/>
    <n v="18000"/>
    <n v="5"/>
    <n v="171000"/>
    <n v="110000"/>
    <n v="61000"/>
    <n v="12"/>
    <x v="1"/>
    <x v="0"/>
    <n v="0.35672514619883039"/>
    <x v="1"/>
  </r>
  <r>
    <s v="ORD-1012"/>
    <d v="2024-02-18T00:00:00"/>
    <x v="1"/>
    <x v="4"/>
    <x v="6"/>
    <x v="0"/>
    <n v="7"/>
    <n v="3500"/>
    <n v="10"/>
    <n v="22050"/>
    <n v="14000"/>
    <n v="8050"/>
    <n v="18"/>
    <x v="1"/>
    <x v="0"/>
    <n v="0.36507936507936506"/>
    <x v="1"/>
  </r>
  <r>
    <s v="ORD-1013"/>
    <d v="2024-02-21T00:00:00"/>
    <x v="1"/>
    <x v="5"/>
    <x v="7"/>
    <x v="1"/>
    <n v="4"/>
    <n v="55000"/>
    <n v="0"/>
    <n v="220000"/>
    <n v="140000"/>
    <n v="80000"/>
    <n v="21"/>
    <x v="1"/>
    <x v="0"/>
    <n v="0.36363636363636365"/>
    <x v="1"/>
  </r>
  <r>
    <s v="ORD-1014"/>
    <d v="2024-02-26T00:00:00"/>
    <x v="2"/>
    <x v="3"/>
    <x v="0"/>
    <x v="0"/>
    <n v="2"/>
    <n v="28000"/>
    <n v="5"/>
    <n v="53200"/>
    <n v="36000"/>
    <n v="17200"/>
    <n v="26"/>
    <x v="1"/>
    <x v="0"/>
    <n v="0.32330827067669171"/>
    <x v="1"/>
  </r>
  <r>
    <s v="ORD-1015"/>
    <d v="2024-02-19T00:00:00"/>
    <x v="2"/>
    <x v="2"/>
    <x v="6"/>
    <x v="0"/>
    <n v="7"/>
    <n v="3500"/>
    <n v="15"/>
    <n v="20825"/>
    <n v="14000"/>
    <n v="6825"/>
    <n v="19"/>
    <x v="1"/>
    <x v="0"/>
    <n v="0.32773109243697479"/>
    <x v="1"/>
  </r>
  <r>
    <s v="ORD-1016"/>
    <d v="2024-02-05T00:00:00"/>
    <x v="2"/>
    <x v="4"/>
    <x v="2"/>
    <x v="0"/>
    <n v="12"/>
    <n v="32000"/>
    <n v="20"/>
    <n v="307200"/>
    <n v="240000"/>
    <n v="67200"/>
    <n v="5"/>
    <x v="1"/>
    <x v="0"/>
    <n v="0.21875"/>
    <x v="1"/>
  </r>
  <r>
    <s v="ORD-1017"/>
    <d v="2024-02-18T00:00:00"/>
    <x v="2"/>
    <x v="3"/>
    <x v="1"/>
    <x v="1"/>
    <n v="7"/>
    <n v="1200"/>
    <n v="10"/>
    <n v="7560"/>
    <n v="4900"/>
    <n v="2660"/>
    <n v="18"/>
    <x v="1"/>
    <x v="0"/>
    <n v="0.35185185185185186"/>
    <x v="1"/>
  </r>
  <r>
    <s v="ORD-1018"/>
    <d v="2024-02-08T00:00:00"/>
    <x v="1"/>
    <x v="6"/>
    <x v="4"/>
    <x v="1"/>
    <n v="13"/>
    <n v="18000"/>
    <n v="0"/>
    <n v="234000"/>
    <n v="143000"/>
    <n v="91000"/>
    <n v="8"/>
    <x v="1"/>
    <x v="0"/>
    <n v="0.3888888888888889"/>
    <x v="1"/>
  </r>
  <r>
    <s v="ORD-1019"/>
    <d v="2024-02-28T00:00:00"/>
    <x v="0"/>
    <x v="4"/>
    <x v="8"/>
    <x v="1"/>
    <n v="13"/>
    <n v="25000"/>
    <n v="15"/>
    <n v="276250"/>
    <n v="208000"/>
    <n v="68250"/>
    <n v="28"/>
    <x v="1"/>
    <x v="0"/>
    <n v="0.24705882352941178"/>
    <x v="1"/>
  </r>
  <r>
    <s v="ORD-1020"/>
    <d v="2024-03-20T00:00:00"/>
    <x v="0"/>
    <x v="3"/>
    <x v="3"/>
    <x v="0"/>
    <n v="10"/>
    <n v="12000"/>
    <n v="15"/>
    <n v="102000"/>
    <n v="75000"/>
    <n v="27000"/>
    <n v="20"/>
    <x v="2"/>
    <x v="0"/>
    <n v="0.26470588235294118"/>
    <x v="2"/>
  </r>
  <r>
    <s v="ORD-1021"/>
    <d v="2024-03-17T00:00:00"/>
    <x v="2"/>
    <x v="0"/>
    <x v="4"/>
    <x v="1"/>
    <n v="11"/>
    <n v="18000"/>
    <n v="20"/>
    <n v="158400"/>
    <n v="121000"/>
    <n v="37400"/>
    <n v="17"/>
    <x v="2"/>
    <x v="0"/>
    <n v="0.2361111111111111"/>
    <x v="2"/>
  </r>
  <r>
    <s v="ORD-1022"/>
    <d v="2024-03-25T00:00:00"/>
    <x v="2"/>
    <x v="5"/>
    <x v="4"/>
    <x v="1"/>
    <n v="5"/>
    <n v="18000"/>
    <n v="15"/>
    <n v="76500"/>
    <n v="55000"/>
    <n v="21500"/>
    <n v="25"/>
    <x v="2"/>
    <x v="0"/>
    <n v="0.28104575163398693"/>
    <x v="2"/>
  </r>
  <r>
    <s v="ORD-1023"/>
    <d v="2024-03-06T00:00:00"/>
    <x v="3"/>
    <x v="0"/>
    <x v="0"/>
    <x v="0"/>
    <n v="9"/>
    <n v="28000"/>
    <n v="5"/>
    <n v="239400"/>
    <n v="162000"/>
    <n v="77400"/>
    <n v="6"/>
    <x v="2"/>
    <x v="0"/>
    <n v="0.32330827067669171"/>
    <x v="2"/>
  </r>
  <r>
    <s v="ORD-1024"/>
    <d v="2024-03-17T00:00:00"/>
    <x v="0"/>
    <x v="7"/>
    <x v="9"/>
    <x v="1"/>
    <n v="10"/>
    <n v="2500"/>
    <n v="5"/>
    <n v="23750"/>
    <n v="14000"/>
    <n v="9750"/>
    <n v="17"/>
    <x v="2"/>
    <x v="0"/>
    <n v="0.41052631578947368"/>
    <x v="2"/>
  </r>
  <r>
    <s v="ORD-1025"/>
    <d v="2024-03-05T00:00:00"/>
    <x v="2"/>
    <x v="4"/>
    <x v="9"/>
    <x v="1"/>
    <n v="13"/>
    <n v="2500"/>
    <n v="20"/>
    <n v="26000"/>
    <n v="18200"/>
    <n v="7800"/>
    <n v="5"/>
    <x v="2"/>
    <x v="0"/>
    <n v="0.3"/>
    <x v="2"/>
  </r>
  <r>
    <s v="ORD-1026"/>
    <d v="2024-03-01T00:00:00"/>
    <x v="2"/>
    <x v="6"/>
    <x v="7"/>
    <x v="1"/>
    <n v="2"/>
    <n v="55000"/>
    <n v="10"/>
    <n v="99000"/>
    <n v="70000"/>
    <n v="29000"/>
    <n v="1"/>
    <x v="2"/>
    <x v="0"/>
    <n v="0.29292929292929293"/>
    <x v="2"/>
  </r>
  <r>
    <s v="ORD-1027"/>
    <d v="2024-03-27T00:00:00"/>
    <x v="2"/>
    <x v="2"/>
    <x v="7"/>
    <x v="1"/>
    <n v="4"/>
    <n v="55000"/>
    <n v="20"/>
    <n v="176000"/>
    <n v="140000"/>
    <n v="36000"/>
    <n v="27"/>
    <x v="2"/>
    <x v="0"/>
    <n v="0.20454545454545456"/>
    <x v="2"/>
  </r>
  <r>
    <s v="ORD-1028"/>
    <d v="2024-03-03T00:00:00"/>
    <x v="0"/>
    <x v="6"/>
    <x v="4"/>
    <x v="1"/>
    <n v="13"/>
    <n v="18000"/>
    <n v="20"/>
    <n v="187200"/>
    <n v="143000"/>
    <n v="44200"/>
    <n v="3"/>
    <x v="2"/>
    <x v="0"/>
    <n v="0.2361111111111111"/>
    <x v="2"/>
  </r>
  <r>
    <s v="ORD-1029"/>
    <d v="2024-03-25T00:00:00"/>
    <x v="1"/>
    <x v="4"/>
    <x v="6"/>
    <x v="0"/>
    <n v="9"/>
    <n v="3500"/>
    <n v="5"/>
    <n v="29925"/>
    <n v="18000"/>
    <n v="11925"/>
    <n v="25"/>
    <x v="2"/>
    <x v="0"/>
    <n v="0.39849624060150374"/>
    <x v="2"/>
  </r>
  <r>
    <s v="ORD-1030"/>
    <d v="2024-04-09T00:00:00"/>
    <x v="3"/>
    <x v="2"/>
    <x v="9"/>
    <x v="1"/>
    <n v="13"/>
    <n v="2500"/>
    <n v="5"/>
    <n v="30875"/>
    <n v="18200"/>
    <n v="12675"/>
    <n v="9"/>
    <x v="3"/>
    <x v="0"/>
    <n v="0.41052631578947368"/>
    <x v="3"/>
  </r>
  <r>
    <s v="ORD-1031"/>
    <d v="2024-04-23T00:00:00"/>
    <x v="2"/>
    <x v="3"/>
    <x v="5"/>
    <x v="1"/>
    <n v="8"/>
    <n v="40000"/>
    <n v="20"/>
    <n v="256000"/>
    <n v="208000"/>
    <n v="48000"/>
    <n v="23"/>
    <x v="3"/>
    <x v="0"/>
    <n v="0.1875"/>
    <x v="3"/>
  </r>
  <r>
    <s v="ORD-1032"/>
    <d v="2024-04-15T00:00:00"/>
    <x v="0"/>
    <x v="2"/>
    <x v="2"/>
    <x v="0"/>
    <n v="2"/>
    <n v="32000"/>
    <n v="10"/>
    <n v="57600"/>
    <n v="40000"/>
    <n v="17600"/>
    <n v="15"/>
    <x v="3"/>
    <x v="0"/>
    <n v="0.30555555555555558"/>
    <x v="3"/>
  </r>
  <r>
    <s v="ORD-1033"/>
    <d v="2024-04-01T00:00:00"/>
    <x v="1"/>
    <x v="2"/>
    <x v="7"/>
    <x v="1"/>
    <n v="2"/>
    <n v="55000"/>
    <n v="0"/>
    <n v="110000"/>
    <n v="70000"/>
    <n v="40000"/>
    <n v="1"/>
    <x v="3"/>
    <x v="0"/>
    <n v="0.36363636363636365"/>
    <x v="3"/>
  </r>
  <r>
    <s v="ORD-1034"/>
    <d v="2024-04-08T00:00:00"/>
    <x v="0"/>
    <x v="0"/>
    <x v="5"/>
    <x v="1"/>
    <n v="2"/>
    <n v="40000"/>
    <n v="20"/>
    <n v="64000"/>
    <n v="52000"/>
    <n v="12000"/>
    <n v="8"/>
    <x v="3"/>
    <x v="0"/>
    <n v="0.1875"/>
    <x v="3"/>
  </r>
  <r>
    <s v="ORD-1035"/>
    <d v="2024-04-08T00:00:00"/>
    <x v="2"/>
    <x v="6"/>
    <x v="2"/>
    <x v="0"/>
    <n v="9"/>
    <n v="32000"/>
    <n v="5"/>
    <n v="273600"/>
    <n v="180000"/>
    <n v="93600"/>
    <n v="8"/>
    <x v="3"/>
    <x v="0"/>
    <n v="0.34210526315789475"/>
    <x v="3"/>
  </r>
  <r>
    <s v="ORD-1036"/>
    <d v="2024-04-24T00:00:00"/>
    <x v="3"/>
    <x v="2"/>
    <x v="6"/>
    <x v="0"/>
    <n v="13"/>
    <n v="3500"/>
    <n v="15"/>
    <n v="38675"/>
    <n v="26000"/>
    <n v="12675"/>
    <n v="24"/>
    <x v="3"/>
    <x v="0"/>
    <n v="0.32773109243697479"/>
    <x v="3"/>
  </r>
  <r>
    <s v="ORD-1037"/>
    <d v="2024-04-07T00:00:00"/>
    <x v="0"/>
    <x v="1"/>
    <x v="3"/>
    <x v="0"/>
    <n v="6"/>
    <n v="12000"/>
    <n v="15"/>
    <n v="61200"/>
    <n v="45000"/>
    <n v="16200"/>
    <n v="7"/>
    <x v="3"/>
    <x v="0"/>
    <n v="0.26470588235294118"/>
    <x v="3"/>
  </r>
  <r>
    <s v="ORD-1038"/>
    <d v="2024-04-14T00:00:00"/>
    <x v="3"/>
    <x v="0"/>
    <x v="4"/>
    <x v="1"/>
    <n v="1"/>
    <n v="18000"/>
    <n v="15"/>
    <n v="15300"/>
    <n v="11000"/>
    <n v="4300"/>
    <n v="14"/>
    <x v="3"/>
    <x v="0"/>
    <n v="0.28104575163398693"/>
    <x v="3"/>
  </r>
  <r>
    <s v="ORD-1039"/>
    <d v="2024-04-24T00:00:00"/>
    <x v="2"/>
    <x v="1"/>
    <x v="2"/>
    <x v="0"/>
    <n v="4"/>
    <n v="32000"/>
    <n v="5"/>
    <n v="121600"/>
    <n v="80000"/>
    <n v="41600"/>
    <n v="24"/>
    <x v="3"/>
    <x v="0"/>
    <n v="0.34210526315789475"/>
    <x v="3"/>
  </r>
  <r>
    <s v="ORD-1040"/>
    <d v="2024-05-18T00:00:00"/>
    <x v="3"/>
    <x v="4"/>
    <x v="3"/>
    <x v="0"/>
    <n v="3"/>
    <n v="12000"/>
    <n v="10"/>
    <n v="32400"/>
    <n v="22500"/>
    <n v="9900"/>
    <n v="18"/>
    <x v="4"/>
    <x v="0"/>
    <n v="0.30555555555555558"/>
    <x v="4"/>
  </r>
  <r>
    <s v="ORD-1041"/>
    <d v="2024-05-15T00:00:00"/>
    <x v="1"/>
    <x v="1"/>
    <x v="6"/>
    <x v="0"/>
    <n v="13"/>
    <n v="3500"/>
    <n v="20"/>
    <n v="36400"/>
    <n v="26000"/>
    <n v="10400"/>
    <n v="15"/>
    <x v="4"/>
    <x v="0"/>
    <n v="0.2857142857142857"/>
    <x v="4"/>
  </r>
  <r>
    <s v="ORD-1042"/>
    <d v="2024-05-04T00:00:00"/>
    <x v="0"/>
    <x v="0"/>
    <x v="4"/>
    <x v="1"/>
    <n v="15"/>
    <n v="18000"/>
    <n v="5"/>
    <n v="256500"/>
    <n v="165000"/>
    <n v="91500"/>
    <n v="4"/>
    <x v="4"/>
    <x v="0"/>
    <n v="0.35672514619883039"/>
    <x v="4"/>
  </r>
  <r>
    <s v="ORD-1043"/>
    <d v="2024-05-06T00:00:00"/>
    <x v="3"/>
    <x v="6"/>
    <x v="6"/>
    <x v="0"/>
    <n v="4"/>
    <n v="3500"/>
    <n v="15"/>
    <n v="11900"/>
    <n v="8000"/>
    <n v="3900"/>
    <n v="6"/>
    <x v="4"/>
    <x v="0"/>
    <n v="0.32773109243697479"/>
    <x v="4"/>
  </r>
  <r>
    <s v="ORD-1044"/>
    <d v="2024-05-02T00:00:00"/>
    <x v="1"/>
    <x v="3"/>
    <x v="7"/>
    <x v="1"/>
    <n v="7"/>
    <n v="55000"/>
    <n v="10"/>
    <n v="346500"/>
    <n v="245000"/>
    <n v="101500"/>
    <n v="2"/>
    <x v="4"/>
    <x v="0"/>
    <n v="0.29292929292929293"/>
    <x v="4"/>
  </r>
  <r>
    <s v="ORD-1045"/>
    <d v="2024-05-26T00:00:00"/>
    <x v="3"/>
    <x v="7"/>
    <x v="3"/>
    <x v="0"/>
    <n v="12"/>
    <n v="12000"/>
    <n v="20"/>
    <n v="115200"/>
    <n v="90000"/>
    <n v="25200"/>
    <n v="26"/>
    <x v="4"/>
    <x v="0"/>
    <n v="0.21875"/>
    <x v="4"/>
  </r>
  <r>
    <s v="ORD-1046"/>
    <d v="2024-05-22T00:00:00"/>
    <x v="3"/>
    <x v="4"/>
    <x v="2"/>
    <x v="0"/>
    <n v="5"/>
    <n v="32000"/>
    <n v="5"/>
    <n v="152000"/>
    <n v="100000"/>
    <n v="52000"/>
    <n v="22"/>
    <x v="4"/>
    <x v="0"/>
    <n v="0.34210526315789475"/>
    <x v="4"/>
  </r>
  <r>
    <s v="ORD-1047"/>
    <d v="2024-05-02T00:00:00"/>
    <x v="0"/>
    <x v="5"/>
    <x v="7"/>
    <x v="1"/>
    <n v="1"/>
    <n v="55000"/>
    <n v="20"/>
    <n v="44000"/>
    <n v="35000"/>
    <n v="9000"/>
    <n v="2"/>
    <x v="4"/>
    <x v="0"/>
    <n v="0.20454545454545456"/>
    <x v="4"/>
  </r>
  <r>
    <s v="ORD-1048"/>
    <d v="2024-05-16T00:00:00"/>
    <x v="1"/>
    <x v="0"/>
    <x v="9"/>
    <x v="1"/>
    <n v="2"/>
    <n v="2500"/>
    <n v="5"/>
    <n v="4750"/>
    <n v="2800"/>
    <n v="1950"/>
    <n v="16"/>
    <x v="4"/>
    <x v="0"/>
    <n v="0.41052631578947368"/>
    <x v="4"/>
  </r>
  <r>
    <s v="ORD-1049"/>
    <d v="2024-05-03T00:00:00"/>
    <x v="0"/>
    <x v="2"/>
    <x v="3"/>
    <x v="0"/>
    <n v="2"/>
    <n v="12000"/>
    <n v="20"/>
    <n v="19200"/>
    <n v="15000"/>
    <n v="4200"/>
    <n v="3"/>
    <x v="4"/>
    <x v="0"/>
    <n v="0.21875"/>
    <x v="4"/>
  </r>
  <r>
    <s v="ORD-1050"/>
    <d v="2024-06-08T00:00:00"/>
    <x v="0"/>
    <x v="1"/>
    <x v="3"/>
    <x v="0"/>
    <n v="11"/>
    <n v="12000"/>
    <n v="20"/>
    <n v="105600"/>
    <n v="82500"/>
    <n v="23100"/>
    <n v="8"/>
    <x v="5"/>
    <x v="0"/>
    <n v="0.21875"/>
    <x v="5"/>
  </r>
  <r>
    <s v="ORD-1051"/>
    <d v="2024-06-19T00:00:00"/>
    <x v="2"/>
    <x v="7"/>
    <x v="2"/>
    <x v="0"/>
    <n v="11"/>
    <n v="32000"/>
    <n v="10"/>
    <n v="316800"/>
    <n v="220000"/>
    <n v="96800"/>
    <n v="19"/>
    <x v="5"/>
    <x v="0"/>
    <n v="0.30555555555555558"/>
    <x v="5"/>
  </r>
  <r>
    <s v="ORD-1052"/>
    <d v="2024-06-08T00:00:00"/>
    <x v="2"/>
    <x v="3"/>
    <x v="8"/>
    <x v="1"/>
    <n v="11"/>
    <n v="25000"/>
    <n v="10"/>
    <n v="247500"/>
    <n v="176000"/>
    <n v="71500"/>
    <n v="8"/>
    <x v="5"/>
    <x v="0"/>
    <n v="0.28888888888888886"/>
    <x v="5"/>
  </r>
  <r>
    <s v="ORD-1053"/>
    <d v="2024-06-15T00:00:00"/>
    <x v="2"/>
    <x v="1"/>
    <x v="7"/>
    <x v="1"/>
    <n v="8"/>
    <n v="55000"/>
    <n v="20"/>
    <n v="352000"/>
    <n v="280000"/>
    <n v="72000"/>
    <n v="15"/>
    <x v="5"/>
    <x v="0"/>
    <n v="0.20454545454545456"/>
    <x v="5"/>
  </r>
  <r>
    <s v="ORD-1054"/>
    <d v="2024-06-19T00:00:00"/>
    <x v="0"/>
    <x v="1"/>
    <x v="9"/>
    <x v="1"/>
    <n v="4"/>
    <n v="2500"/>
    <n v="20"/>
    <n v="8000"/>
    <n v="5600"/>
    <n v="2400"/>
    <n v="19"/>
    <x v="5"/>
    <x v="0"/>
    <n v="0.3"/>
    <x v="5"/>
  </r>
  <r>
    <s v="ORD-1055"/>
    <d v="2024-06-09T00:00:00"/>
    <x v="1"/>
    <x v="5"/>
    <x v="4"/>
    <x v="1"/>
    <n v="15"/>
    <n v="18000"/>
    <n v="5"/>
    <n v="256500"/>
    <n v="165000"/>
    <n v="91500"/>
    <n v="9"/>
    <x v="5"/>
    <x v="0"/>
    <n v="0.35672514619883039"/>
    <x v="5"/>
  </r>
  <r>
    <s v="ORD-1056"/>
    <d v="2024-06-12T00:00:00"/>
    <x v="2"/>
    <x v="4"/>
    <x v="6"/>
    <x v="0"/>
    <n v="14"/>
    <n v="3500"/>
    <n v="20"/>
    <n v="39200"/>
    <n v="28000"/>
    <n v="11200"/>
    <n v="12"/>
    <x v="5"/>
    <x v="0"/>
    <n v="0.2857142857142857"/>
    <x v="5"/>
  </r>
  <r>
    <s v="ORD-1057"/>
    <d v="2024-06-23T00:00:00"/>
    <x v="2"/>
    <x v="0"/>
    <x v="9"/>
    <x v="1"/>
    <n v="5"/>
    <n v="2500"/>
    <n v="0"/>
    <n v="12500"/>
    <n v="7000"/>
    <n v="5500"/>
    <n v="23"/>
    <x v="5"/>
    <x v="0"/>
    <n v="0.44"/>
    <x v="5"/>
  </r>
  <r>
    <s v="ORD-1058"/>
    <d v="2024-06-05T00:00:00"/>
    <x v="2"/>
    <x v="1"/>
    <x v="4"/>
    <x v="1"/>
    <n v="12"/>
    <n v="18000"/>
    <n v="20"/>
    <n v="172800"/>
    <n v="132000"/>
    <n v="40800"/>
    <n v="5"/>
    <x v="5"/>
    <x v="0"/>
    <n v="0.2361111111111111"/>
    <x v="5"/>
  </r>
  <r>
    <s v="ORD-1059"/>
    <d v="2024-06-05T00:00:00"/>
    <x v="2"/>
    <x v="7"/>
    <x v="1"/>
    <x v="1"/>
    <n v="4"/>
    <n v="1200"/>
    <n v="10"/>
    <n v="4320"/>
    <n v="2800"/>
    <n v="1520"/>
    <n v="5"/>
    <x v="5"/>
    <x v="0"/>
    <n v="0.35185185185185186"/>
    <x v="5"/>
  </r>
  <r>
    <s v="ORD-1060"/>
    <d v="2024-07-07T00:00:00"/>
    <x v="2"/>
    <x v="6"/>
    <x v="0"/>
    <x v="0"/>
    <n v="15"/>
    <n v="28000"/>
    <n v="0"/>
    <n v="420000"/>
    <n v="270000"/>
    <n v="150000"/>
    <n v="7"/>
    <x v="6"/>
    <x v="0"/>
    <n v="0.35714285714285715"/>
    <x v="6"/>
  </r>
  <r>
    <s v="ORD-1061"/>
    <d v="2024-07-03T00:00:00"/>
    <x v="3"/>
    <x v="7"/>
    <x v="7"/>
    <x v="1"/>
    <n v="1"/>
    <n v="55000"/>
    <n v="10"/>
    <n v="49500"/>
    <n v="35000"/>
    <n v="14500"/>
    <n v="3"/>
    <x v="6"/>
    <x v="0"/>
    <n v="0.29292929292929293"/>
    <x v="6"/>
  </r>
  <r>
    <s v="ORD-1062"/>
    <d v="2024-07-25T00:00:00"/>
    <x v="1"/>
    <x v="7"/>
    <x v="8"/>
    <x v="1"/>
    <n v="12"/>
    <n v="25000"/>
    <n v="15"/>
    <n v="255000"/>
    <n v="192000"/>
    <n v="63000"/>
    <n v="25"/>
    <x v="6"/>
    <x v="0"/>
    <n v="0.24705882352941178"/>
    <x v="6"/>
  </r>
  <r>
    <s v="ORD-1063"/>
    <d v="2024-07-18T00:00:00"/>
    <x v="3"/>
    <x v="0"/>
    <x v="4"/>
    <x v="1"/>
    <n v="2"/>
    <n v="18000"/>
    <n v="5"/>
    <n v="34200"/>
    <n v="22000"/>
    <n v="12200"/>
    <n v="18"/>
    <x v="6"/>
    <x v="0"/>
    <n v="0.35672514619883039"/>
    <x v="6"/>
  </r>
  <r>
    <s v="ORD-1064"/>
    <d v="2024-07-18T00:00:00"/>
    <x v="0"/>
    <x v="5"/>
    <x v="1"/>
    <x v="1"/>
    <n v="9"/>
    <n v="1200"/>
    <n v="5"/>
    <n v="10260"/>
    <n v="6300"/>
    <n v="3960"/>
    <n v="18"/>
    <x v="6"/>
    <x v="0"/>
    <n v="0.38596491228070173"/>
    <x v="6"/>
  </r>
  <r>
    <s v="ORD-1065"/>
    <d v="2024-07-14T00:00:00"/>
    <x v="1"/>
    <x v="0"/>
    <x v="0"/>
    <x v="0"/>
    <n v="6"/>
    <n v="28000"/>
    <n v="0"/>
    <n v="168000"/>
    <n v="108000"/>
    <n v="60000"/>
    <n v="14"/>
    <x v="6"/>
    <x v="0"/>
    <n v="0.35714285714285715"/>
    <x v="6"/>
  </r>
  <r>
    <s v="ORD-1066"/>
    <d v="2024-07-12T00:00:00"/>
    <x v="1"/>
    <x v="2"/>
    <x v="4"/>
    <x v="1"/>
    <n v="6"/>
    <n v="18000"/>
    <n v="20"/>
    <n v="86400"/>
    <n v="66000"/>
    <n v="20400"/>
    <n v="12"/>
    <x v="6"/>
    <x v="0"/>
    <n v="0.2361111111111111"/>
    <x v="6"/>
  </r>
  <r>
    <s v="ORD-1067"/>
    <d v="2024-07-28T00:00:00"/>
    <x v="3"/>
    <x v="4"/>
    <x v="2"/>
    <x v="0"/>
    <n v="14"/>
    <n v="32000"/>
    <n v="5"/>
    <n v="425600"/>
    <n v="280000"/>
    <n v="145600"/>
    <n v="28"/>
    <x v="6"/>
    <x v="0"/>
    <n v="0.34210526315789475"/>
    <x v="6"/>
  </r>
  <r>
    <s v="ORD-1068"/>
    <d v="2024-07-26T00:00:00"/>
    <x v="1"/>
    <x v="3"/>
    <x v="7"/>
    <x v="1"/>
    <n v="3"/>
    <n v="55000"/>
    <n v="10"/>
    <n v="148500"/>
    <n v="105000"/>
    <n v="43500"/>
    <n v="26"/>
    <x v="6"/>
    <x v="0"/>
    <n v="0.29292929292929293"/>
    <x v="6"/>
  </r>
  <r>
    <s v="ORD-1069"/>
    <d v="2024-07-26T00:00:00"/>
    <x v="3"/>
    <x v="2"/>
    <x v="0"/>
    <x v="0"/>
    <n v="3"/>
    <n v="28000"/>
    <n v="0"/>
    <n v="84000"/>
    <n v="54000"/>
    <n v="30000"/>
    <n v="26"/>
    <x v="6"/>
    <x v="0"/>
    <n v="0.35714285714285715"/>
    <x v="6"/>
  </r>
  <r>
    <s v="ORD-1070"/>
    <d v="2024-08-13T00:00:00"/>
    <x v="0"/>
    <x v="6"/>
    <x v="2"/>
    <x v="0"/>
    <n v="4"/>
    <n v="32000"/>
    <n v="15"/>
    <n v="108800"/>
    <n v="80000"/>
    <n v="28800"/>
    <n v="13"/>
    <x v="7"/>
    <x v="0"/>
    <n v="0.26470588235294118"/>
    <x v="7"/>
  </r>
  <r>
    <s v="ORD-1071"/>
    <d v="2024-08-12T00:00:00"/>
    <x v="2"/>
    <x v="2"/>
    <x v="2"/>
    <x v="0"/>
    <n v="1"/>
    <n v="32000"/>
    <n v="5"/>
    <n v="30400"/>
    <n v="20000"/>
    <n v="10400"/>
    <n v="12"/>
    <x v="7"/>
    <x v="0"/>
    <n v="0.34210526315789475"/>
    <x v="7"/>
  </r>
  <r>
    <s v="ORD-1072"/>
    <d v="2024-08-13T00:00:00"/>
    <x v="2"/>
    <x v="7"/>
    <x v="4"/>
    <x v="1"/>
    <n v="13"/>
    <n v="18000"/>
    <n v="10"/>
    <n v="210600"/>
    <n v="143000"/>
    <n v="67600"/>
    <n v="13"/>
    <x v="7"/>
    <x v="0"/>
    <n v="0.32098765432098764"/>
    <x v="7"/>
  </r>
  <r>
    <s v="ORD-1073"/>
    <d v="2024-08-12T00:00:00"/>
    <x v="3"/>
    <x v="5"/>
    <x v="7"/>
    <x v="1"/>
    <n v="2"/>
    <n v="55000"/>
    <n v="10"/>
    <n v="99000"/>
    <n v="70000"/>
    <n v="29000"/>
    <n v="12"/>
    <x v="7"/>
    <x v="0"/>
    <n v="0.29292929292929293"/>
    <x v="7"/>
  </r>
  <r>
    <s v="ORD-1074"/>
    <d v="2024-08-06T00:00:00"/>
    <x v="2"/>
    <x v="0"/>
    <x v="4"/>
    <x v="1"/>
    <n v="10"/>
    <n v="18000"/>
    <n v="15"/>
    <n v="153000"/>
    <n v="110000"/>
    <n v="43000"/>
    <n v="6"/>
    <x v="7"/>
    <x v="0"/>
    <n v="0.28104575163398693"/>
    <x v="7"/>
  </r>
  <r>
    <s v="ORD-1075"/>
    <d v="2024-08-12T00:00:00"/>
    <x v="2"/>
    <x v="3"/>
    <x v="1"/>
    <x v="1"/>
    <n v="9"/>
    <n v="1200"/>
    <n v="0"/>
    <n v="10800"/>
    <n v="6300"/>
    <n v="4500"/>
    <n v="12"/>
    <x v="7"/>
    <x v="0"/>
    <n v="0.41666666666666669"/>
    <x v="7"/>
  </r>
  <r>
    <s v="ORD-1076"/>
    <d v="2024-08-13T00:00:00"/>
    <x v="1"/>
    <x v="7"/>
    <x v="7"/>
    <x v="1"/>
    <n v="12"/>
    <n v="55000"/>
    <n v="15"/>
    <n v="561000"/>
    <n v="420000"/>
    <n v="141000"/>
    <n v="13"/>
    <x v="7"/>
    <x v="0"/>
    <n v="0.25133689839572193"/>
    <x v="7"/>
  </r>
  <r>
    <s v="ORD-1077"/>
    <d v="2024-08-01T00:00:00"/>
    <x v="1"/>
    <x v="5"/>
    <x v="3"/>
    <x v="0"/>
    <n v="2"/>
    <n v="12000"/>
    <n v="10"/>
    <n v="21600"/>
    <n v="15000"/>
    <n v="6600"/>
    <n v="1"/>
    <x v="7"/>
    <x v="0"/>
    <n v="0.30555555555555558"/>
    <x v="7"/>
  </r>
  <r>
    <s v="ORD-1078"/>
    <d v="2024-08-20T00:00:00"/>
    <x v="2"/>
    <x v="1"/>
    <x v="0"/>
    <x v="0"/>
    <n v="9"/>
    <n v="28000"/>
    <n v="10"/>
    <n v="226800"/>
    <n v="162000"/>
    <n v="64800"/>
    <n v="20"/>
    <x v="7"/>
    <x v="0"/>
    <n v="0.2857142857142857"/>
    <x v="7"/>
  </r>
  <r>
    <s v="ORD-1079"/>
    <d v="2024-08-22T00:00:00"/>
    <x v="3"/>
    <x v="5"/>
    <x v="3"/>
    <x v="0"/>
    <n v="12"/>
    <n v="12000"/>
    <n v="10"/>
    <n v="129600"/>
    <n v="90000"/>
    <n v="39600"/>
    <n v="22"/>
    <x v="7"/>
    <x v="0"/>
    <n v="0.30555555555555558"/>
    <x v="7"/>
  </r>
  <r>
    <s v="ORD-1080"/>
    <d v="2024-09-18T00:00:00"/>
    <x v="1"/>
    <x v="2"/>
    <x v="3"/>
    <x v="0"/>
    <n v="11"/>
    <n v="12000"/>
    <n v="15"/>
    <n v="112200"/>
    <n v="82500"/>
    <n v="29700"/>
    <n v="18"/>
    <x v="8"/>
    <x v="0"/>
    <n v="0.26470588235294118"/>
    <x v="8"/>
  </r>
  <r>
    <s v="ORD-1081"/>
    <d v="2024-09-22T00:00:00"/>
    <x v="1"/>
    <x v="7"/>
    <x v="3"/>
    <x v="0"/>
    <n v="9"/>
    <n v="12000"/>
    <n v="0"/>
    <n v="108000"/>
    <n v="67500"/>
    <n v="40500"/>
    <n v="22"/>
    <x v="8"/>
    <x v="0"/>
    <n v="0.375"/>
    <x v="8"/>
  </r>
  <r>
    <s v="ORD-1082"/>
    <d v="2024-09-10T00:00:00"/>
    <x v="2"/>
    <x v="2"/>
    <x v="3"/>
    <x v="0"/>
    <n v="13"/>
    <n v="12000"/>
    <n v="20"/>
    <n v="124800"/>
    <n v="97500"/>
    <n v="27300"/>
    <n v="10"/>
    <x v="8"/>
    <x v="0"/>
    <n v="0.21875"/>
    <x v="8"/>
  </r>
  <r>
    <s v="ORD-1083"/>
    <d v="2024-09-20T00:00:00"/>
    <x v="2"/>
    <x v="6"/>
    <x v="6"/>
    <x v="0"/>
    <n v="8"/>
    <n v="3500"/>
    <n v="5"/>
    <n v="26600"/>
    <n v="16000"/>
    <n v="10600"/>
    <n v="20"/>
    <x v="8"/>
    <x v="0"/>
    <n v="0.39849624060150374"/>
    <x v="8"/>
  </r>
  <r>
    <s v="ORD-1084"/>
    <d v="2024-09-17T00:00:00"/>
    <x v="3"/>
    <x v="4"/>
    <x v="4"/>
    <x v="1"/>
    <n v="5"/>
    <n v="18000"/>
    <n v="20"/>
    <n v="72000"/>
    <n v="55000"/>
    <n v="17000"/>
    <n v="17"/>
    <x v="8"/>
    <x v="0"/>
    <n v="0.2361111111111111"/>
    <x v="8"/>
  </r>
  <r>
    <s v="ORD-1085"/>
    <d v="2024-09-22T00:00:00"/>
    <x v="2"/>
    <x v="1"/>
    <x v="2"/>
    <x v="0"/>
    <n v="11"/>
    <n v="32000"/>
    <n v="10"/>
    <n v="316800"/>
    <n v="220000"/>
    <n v="96800"/>
    <n v="22"/>
    <x v="8"/>
    <x v="0"/>
    <n v="0.30555555555555558"/>
    <x v="8"/>
  </r>
  <r>
    <s v="ORD-1086"/>
    <d v="2024-09-08T00:00:00"/>
    <x v="1"/>
    <x v="4"/>
    <x v="7"/>
    <x v="1"/>
    <n v="1"/>
    <n v="55000"/>
    <n v="5"/>
    <n v="52250"/>
    <n v="35000"/>
    <n v="17250"/>
    <n v="8"/>
    <x v="8"/>
    <x v="0"/>
    <n v="0.33014354066985646"/>
    <x v="8"/>
  </r>
  <r>
    <s v="ORD-1087"/>
    <d v="2024-09-16T00:00:00"/>
    <x v="0"/>
    <x v="6"/>
    <x v="3"/>
    <x v="0"/>
    <n v="15"/>
    <n v="12000"/>
    <n v="20"/>
    <n v="144000"/>
    <n v="112500"/>
    <n v="31500"/>
    <n v="16"/>
    <x v="8"/>
    <x v="0"/>
    <n v="0.21875"/>
    <x v="8"/>
  </r>
  <r>
    <s v="ORD-1088"/>
    <d v="2024-09-07T00:00:00"/>
    <x v="3"/>
    <x v="6"/>
    <x v="3"/>
    <x v="0"/>
    <n v="4"/>
    <n v="12000"/>
    <n v="5"/>
    <n v="45600"/>
    <n v="30000"/>
    <n v="15600"/>
    <n v="7"/>
    <x v="8"/>
    <x v="0"/>
    <n v="0.34210526315789475"/>
    <x v="8"/>
  </r>
  <r>
    <s v="ORD-1089"/>
    <d v="2024-09-21T00:00:00"/>
    <x v="0"/>
    <x v="1"/>
    <x v="3"/>
    <x v="0"/>
    <n v="4"/>
    <n v="12000"/>
    <n v="5"/>
    <n v="45600"/>
    <n v="30000"/>
    <n v="15600"/>
    <n v="21"/>
    <x v="8"/>
    <x v="0"/>
    <n v="0.34210526315789475"/>
    <x v="8"/>
  </r>
  <r>
    <s v="ORD-1090"/>
    <d v="2024-10-26T00:00:00"/>
    <x v="3"/>
    <x v="0"/>
    <x v="9"/>
    <x v="1"/>
    <n v="4"/>
    <n v="2500"/>
    <n v="0"/>
    <n v="10000"/>
    <n v="5600"/>
    <n v="4400"/>
    <n v="26"/>
    <x v="9"/>
    <x v="0"/>
    <n v="0.44"/>
    <x v="9"/>
  </r>
  <r>
    <s v="ORD-1091"/>
    <d v="2024-10-15T00:00:00"/>
    <x v="1"/>
    <x v="6"/>
    <x v="9"/>
    <x v="1"/>
    <n v="9"/>
    <n v="2500"/>
    <n v="20"/>
    <n v="18000"/>
    <n v="12600"/>
    <n v="5400"/>
    <n v="15"/>
    <x v="9"/>
    <x v="0"/>
    <n v="0.3"/>
    <x v="9"/>
  </r>
  <r>
    <s v="ORD-1092"/>
    <d v="2024-10-11T00:00:00"/>
    <x v="3"/>
    <x v="3"/>
    <x v="9"/>
    <x v="1"/>
    <n v="8"/>
    <n v="2500"/>
    <n v="5"/>
    <n v="19000"/>
    <n v="11200"/>
    <n v="7800"/>
    <n v="11"/>
    <x v="9"/>
    <x v="0"/>
    <n v="0.41052631578947368"/>
    <x v="9"/>
  </r>
  <r>
    <s v="ORD-1093"/>
    <d v="2024-10-24T00:00:00"/>
    <x v="3"/>
    <x v="6"/>
    <x v="0"/>
    <x v="0"/>
    <n v="13"/>
    <n v="28000"/>
    <n v="5"/>
    <n v="345800"/>
    <n v="234000"/>
    <n v="111800"/>
    <n v="24"/>
    <x v="9"/>
    <x v="0"/>
    <n v="0.32330827067669171"/>
    <x v="9"/>
  </r>
  <r>
    <s v="ORD-1094"/>
    <d v="2024-10-27T00:00:00"/>
    <x v="2"/>
    <x v="6"/>
    <x v="2"/>
    <x v="0"/>
    <n v="5"/>
    <n v="32000"/>
    <n v="15"/>
    <n v="136000"/>
    <n v="100000"/>
    <n v="36000"/>
    <n v="27"/>
    <x v="9"/>
    <x v="0"/>
    <n v="0.26470588235294118"/>
    <x v="9"/>
  </r>
  <r>
    <s v="ORD-1095"/>
    <d v="2024-10-03T00:00:00"/>
    <x v="2"/>
    <x v="2"/>
    <x v="0"/>
    <x v="0"/>
    <n v="6"/>
    <n v="28000"/>
    <n v="10"/>
    <n v="151200"/>
    <n v="108000"/>
    <n v="43200"/>
    <n v="3"/>
    <x v="9"/>
    <x v="0"/>
    <n v="0.2857142857142857"/>
    <x v="9"/>
  </r>
  <r>
    <s v="ORD-1096"/>
    <d v="2024-10-18T00:00:00"/>
    <x v="0"/>
    <x v="4"/>
    <x v="8"/>
    <x v="1"/>
    <n v="4"/>
    <n v="25000"/>
    <n v="15"/>
    <n v="85000"/>
    <n v="64000"/>
    <n v="21000"/>
    <n v="18"/>
    <x v="9"/>
    <x v="0"/>
    <n v="0.24705882352941178"/>
    <x v="9"/>
  </r>
  <r>
    <s v="ORD-1097"/>
    <d v="2024-10-23T00:00:00"/>
    <x v="1"/>
    <x v="2"/>
    <x v="4"/>
    <x v="1"/>
    <n v="7"/>
    <n v="18000"/>
    <n v="15"/>
    <n v="107100"/>
    <n v="77000"/>
    <n v="30100"/>
    <n v="23"/>
    <x v="9"/>
    <x v="0"/>
    <n v="0.28104575163398693"/>
    <x v="9"/>
  </r>
  <r>
    <s v="ORD-1098"/>
    <d v="2024-10-11T00:00:00"/>
    <x v="3"/>
    <x v="3"/>
    <x v="7"/>
    <x v="1"/>
    <n v="4"/>
    <n v="55000"/>
    <n v="15"/>
    <n v="187000"/>
    <n v="140000"/>
    <n v="47000"/>
    <n v="11"/>
    <x v="9"/>
    <x v="0"/>
    <n v="0.25133689839572193"/>
    <x v="9"/>
  </r>
  <r>
    <s v="ORD-1099"/>
    <d v="2024-10-13T00:00:00"/>
    <x v="0"/>
    <x v="3"/>
    <x v="6"/>
    <x v="0"/>
    <n v="1"/>
    <n v="3500"/>
    <n v="10"/>
    <n v="3150"/>
    <n v="2000"/>
    <n v="1150"/>
    <n v="13"/>
    <x v="9"/>
    <x v="0"/>
    <n v="0.36507936507936506"/>
    <x v="9"/>
  </r>
  <r>
    <s v="ORD-1100"/>
    <d v="2024-11-10T00:00:00"/>
    <x v="3"/>
    <x v="3"/>
    <x v="9"/>
    <x v="1"/>
    <n v="12"/>
    <n v="2500"/>
    <n v="20"/>
    <n v="24000"/>
    <n v="16800"/>
    <n v="7200"/>
    <n v="10"/>
    <x v="10"/>
    <x v="0"/>
    <n v="0.3"/>
    <x v="10"/>
  </r>
  <r>
    <s v="ORD-1101"/>
    <d v="2024-11-26T00:00:00"/>
    <x v="1"/>
    <x v="6"/>
    <x v="2"/>
    <x v="0"/>
    <n v="5"/>
    <n v="32000"/>
    <n v="15"/>
    <n v="136000"/>
    <n v="100000"/>
    <n v="36000"/>
    <n v="26"/>
    <x v="10"/>
    <x v="0"/>
    <n v="0.26470588235294118"/>
    <x v="10"/>
  </r>
  <r>
    <s v="ORD-1102"/>
    <d v="2024-11-16T00:00:00"/>
    <x v="0"/>
    <x v="3"/>
    <x v="5"/>
    <x v="1"/>
    <n v="11"/>
    <n v="40000"/>
    <n v="15"/>
    <n v="374000"/>
    <n v="286000"/>
    <n v="88000"/>
    <n v="16"/>
    <x v="10"/>
    <x v="0"/>
    <n v="0.23529411764705882"/>
    <x v="10"/>
  </r>
  <r>
    <s v="ORD-1103"/>
    <d v="2024-11-24T00:00:00"/>
    <x v="1"/>
    <x v="6"/>
    <x v="8"/>
    <x v="1"/>
    <n v="10"/>
    <n v="25000"/>
    <n v="20"/>
    <n v="200000"/>
    <n v="160000"/>
    <n v="40000"/>
    <n v="24"/>
    <x v="10"/>
    <x v="0"/>
    <n v="0.2"/>
    <x v="10"/>
  </r>
  <r>
    <s v="ORD-1104"/>
    <d v="2024-11-01T00:00:00"/>
    <x v="3"/>
    <x v="0"/>
    <x v="4"/>
    <x v="1"/>
    <n v="11"/>
    <n v="18000"/>
    <n v="15"/>
    <n v="168300"/>
    <n v="121000"/>
    <n v="47300"/>
    <n v="1"/>
    <x v="10"/>
    <x v="0"/>
    <n v="0.28104575163398693"/>
    <x v="10"/>
  </r>
  <r>
    <s v="ORD-1105"/>
    <d v="2024-11-05T00:00:00"/>
    <x v="3"/>
    <x v="4"/>
    <x v="7"/>
    <x v="1"/>
    <n v="5"/>
    <n v="55000"/>
    <n v="15"/>
    <n v="233750"/>
    <n v="175000"/>
    <n v="58750"/>
    <n v="5"/>
    <x v="10"/>
    <x v="0"/>
    <n v="0.25133689839572193"/>
    <x v="10"/>
  </r>
  <r>
    <s v="ORD-1106"/>
    <d v="2024-11-11T00:00:00"/>
    <x v="1"/>
    <x v="6"/>
    <x v="5"/>
    <x v="1"/>
    <n v="6"/>
    <n v="40000"/>
    <n v="15"/>
    <n v="204000"/>
    <n v="156000"/>
    <n v="48000"/>
    <n v="11"/>
    <x v="10"/>
    <x v="0"/>
    <n v="0.23529411764705882"/>
    <x v="10"/>
  </r>
  <r>
    <s v="ORD-1107"/>
    <d v="2024-11-09T00:00:00"/>
    <x v="3"/>
    <x v="7"/>
    <x v="4"/>
    <x v="1"/>
    <n v="8"/>
    <n v="18000"/>
    <n v="0"/>
    <n v="144000"/>
    <n v="88000"/>
    <n v="56000"/>
    <n v="9"/>
    <x v="10"/>
    <x v="0"/>
    <n v="0.3888888888888889"/>
    <x v="10"/>
  </r>
  <r>
    <s v="ORD-1108"/>
    <d v="2024-11-24T00:00:00"/>
    <x v="0"/>
    <x v="5"/>
    <x v="2"/>
    <x v="0"/>
    <n v="11"/>
    <n v="32000"/>
    <n v="0"/>
    <n v="352000"/>
    <n v="220000"/>
    <n v="132000"/>
    <n v="24"/>
    <x v="10"/>
    <x v="0"/>
    <n v="0.375"/>
    <x v="10"/>
  </r>
  <r>
    <s v="ORD-1109"/>
    <d v="2024-11-25T00:00:00"/>
    <x v="0"/>
    <x v="0"/>
    <x v="2"/>
    <x v="0"/>
    <n v="4"/>
    <n v="32000"/>
    <n v="0"/>
    <n v="128000"/>
    <n v="80000"/>
    <n v="48000"/>
    <n v="25"/>
    <x v="10"/>
    <x v="0"/>
    <n v="0.375"/>
    <x v="10"/>
  </r>
  <r>
    <s v="ORD-1110"/>
    <d v="2024-12-20T00:00:00"/>
    <x v="1"/>
    <x v="2"/>
    <x v="8"/>
    <x v="1"/>
    <n v="8"/>
    <n v="25000"/>
    <n v="0"/>
    <n v="200000"/>
    <n v="128000"/>
    <n v="72000"/>
    <n v="20"/>
    <x v="11"/>
    <x v="0"/>
    <n v="0.36"/>
    <x v="11"/>
  </r>
  <r>
    <s v="ORD-1111"/>
    <d v="2024-12-19T00:00:00"/>
    <x v="1"/>
    <x v="6"/>
    <x v="0"/>
    <x v="0"/>
    <n v="13"/>
    <n v="28000"/>
    <n v="10"/>
    <n v="327600"/>
    <n v="234000"/>
    <n v="93600"/>
    <n v="19"/>
    <x v="11"/>
    <x v="0"/>
    <n v="0.2857142857142857"/>
    <x v="11"/>
  </r>
  <r>
    <s v="ORD-1112"/>
    <d v="2024-12-06T00:00:00"/>
    <x v="0"/>
    <x v="4"/>
    <x v="0"/>
    <x v="0"/>
    <n v="2"/>
    <n v="28000"/>
    <n v="20"/>
    <n v="44800"/>
    <n v="36000"/>
    <n v="8800"/>
    <n v="6"/>
    <x v="11"/>
    <x v="0"/>
    <n v="0.19642857142857142"/>
    <x v="11"/>
  </r>
  <r>
    <s v="ORD-1113"/>
    <d v="2024-12-01T00:00:00"/>
    <x v="2"/>
    <x v="3"/>
    <x v="3"/>
    <x v="0"/>
    <n v="12"/>
    <n v="12000"/>
    <n v="5"/>
    <n v="136800"/>
    <n v="90000"/>
    <n v="46800"/>
    <n v="1"/>
    <x v="11"/>
    <x v="0"/>
    <n v="0.34210526315789475"/>
    <x v="11"/>
  </r>
  <r>
    <s v="ORD-1114"/>
    <d v="2024-12-03T00:00:00"/>
    <x v="1"/>
    <x v="1"/>
    <x v="0"/>
    <x v="0"/>
    <n v="14"/>
    <n v="28000"/>
    <n v="20"/>
    <n v="313600"/>
    <n v="252000"/>
    <n v="61600"/>
    <n v="3"/>
    <x v="11"/>
    <x v="0"/>
    <n v="0.19642857142857142"/>
    <x v="11"/>
  </r>
  <r>
    <s v="ORD-1115"/>
    <d v="2024-12-26T00:00:00"/>
    <x v="0"/>
    <x v="0"/>
    <x v="5"/>
    <x v="1"/>
    <n v="9"/>
    <n v="40000"/>
    <n v="15"/>
    <n v="306000"/>
    <n v="234000"/>
    <n v="72000"/>
    <n v="26"/>
    <x v="11"/>
    <x v="0"/>
    <n v="0.23529411764705882"/>
    <x v="11"/>
  </r>
  <r>
    <s v="ORD-1116"/>
    <d v="2024-12-22T00:00:00"/>
    <x v="2"/>
    <x v="1"/>
    <x v="9"/>
    <x v="1"/>
    <n v="11"/>
    <n v="2500"/>
    <n v="10"/>
    <n v="24750"/>
    <n v="15400"/>
    <n v="9350"/>
    <n v="22"/>
    <x v="11"/>
    <x v="0"/>
    <n v="0.37777777777777777"/>
    <x v="11"/>
  </r>
  <r>
    <s v="ORD-1117"/>
    <d v="2024-12-01T00:00:00"/>
    <x v="3"/>
    <x v="6"/>
    <x v="4"/>
    <x v="1"/>
    <n v="7"/>
    <n v="18000"/>
    <n v="10"/>
    <n v="113400"/>
    <n v="77000"/>
    <n v="36400"/>
    <n v="1"/>
    <x v="11"/>
    <x v="0"/>
    <n v="0.32098765432098764"/>
    <x v="11"/>
  </r>
  <r>
    <s v="ORD-1118"/>
    <d v="2024-12-21T00:00:00"/>
    <x v="3"/>
    <x v="4"/>
    <x v="3"/>
    <x v="0"/>
    <n v="3"/>
    <n v="12000"/>
    <n v="20"/>
    <n v="28800"/>
    <n v="22500"/>
    <n v="6300"/>
    <n v="21"/>
    <x v="11"/>
    <x v="0"/>
    <n v="0.21875"/>
    <x v="11"/>
  </r>
  <r>
    <s v="ORD-1119"/>
    <d v="2024-12-21T00:00:00"/>
    <x v="2"/>
    <x v="6"/>
    <x v="6"/>
    <x v="0"/>
    <n v="7"/>
    <n v="3500"/>
    <n v="20"/>
    <n v="19600"/>
    <n v="14000"/>
    <n v="5600"/>
    <n v="21"/>
    <x v="11"/>
    <x v="0"/>
    <n v="0.2857142857142857"/>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E2A1F1-77E9-4613-8AB0-B1AF4776F961}"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s">
  <location ref="D10:E16" firstHeaderRow="1" firstDataRow="1" firstDataCol="1"/>
  <pivotFields count="18">
    <pivotField showAll="0" defaultSubtotal="0"/>
    <pivotField numFmtId="165" showAll="0" defaultSubtotal="0"/>
    <pivotField showAll="0" defaultSubtotal="0">
      <items count="4">
        <item x="2"/>
        <item x="0"/>
        <item x="1"/>
        <item x="3"/>
      </items>
    </pivotField>
    <pivotField showAll="0" defaultSubtotal="0"/>
    <pivotField axis="axisRow" showAll="0" measureFilter="1" defaultSubtotal="0">
      <items count="10">
        <item x="2"/>
        <item x="9"/>
        <item x="1"/>
        <item x="7"/>
        <item x="5"/>
        <item x="6"/>
        <item x="4"/>
        <item x="3"/>
        <item x="8"/>
        <item x="0"/>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numFmtId="166" showAll="0" defaultSubtotal="0"/>
    <pivotField subtotalTop="0" showAll="0" defaultSubtotal="0"/>
    <pivotField dragToRow="0" dragToCol="0" dragToPage="0" showAll="0" defaultSubtotal="0"/>
  </pivotFields>
  <rowFields count="1">
    <field x="4"/>
  </rowFields>
  <rowItems count="6">
    <i>
      <x/>
    </i>
    <i>
      <x v="3"/>
    </i>
    <i>
      <x v="6"/>
    </i>
    <i>
      <x v="7"/>
    </i>
    <i>
      <x v="9"/>
    </i>
    <i t="grand">
      <x/>
    </i>
  </rowItems>
  <colItems count="1">
    <i/>
  </colItems>
  <dataFields count="1">
    <dataField name="Sum of Profit" fld="11" baseField="0" baseItem="0"/>
  </dataFields>
  <formats count="7">
    <format dxfId="1">
      <pivotArea type="all" dataOnly="0" outline="0" fieldPosition="0"/>
    </format>
    <format dxfId="2">
      <pivotArea outline="0" collapsedLevelsAreSubtotals="1" fieldPosition="0"/>
    </format>
    <format dxfId="3">
      <pivotArea field="4" type="button" dataOnly="0" labelOnly="1" outline="0" axis="axisRow" fieldPosition="0"/>
    </format>
    <format dxfId="4">
      <pivotArea dataOnly="0" labelOnly="1" fieldPosition="0">
        <references count="1">
          <reference field="4" count="5">
            <x v="0"/>
            <x v="3"/>
            <x v="6"/>
            <x v="7"/>
            <x v="9"/>
          </reference>
        </references>
      </pivotArea>
    </format>
    <format dxfId="5">
      <pivotArea dataOnly="0" labelOnly="1" grandRow="1" outline="0" fieldPosition="0"/>
    </format>
    <format dxfId="6">
      <pivotArea dataOnly="0" labelOnly="1" outline="0" axis="axisValues" fieldPosition="0"/>
    </format>
    <format dxfId="7">
      <pivotArea collapsedLevelsAreSubtotals="1" fieldPosition="0">
        <references count="1">
          <reference field="4" count="5">
            <x v="0"/>
            <x v="3"/>
            <x v="6"/>
            <x v="7"/>
            <x v="9"/>
          </reference>
        </references>
      </pivotArea>
    </format>
  </formats>
  <chartFormats count="7">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4" count="1" selected="0">
            <x v="0"/>
          </reference>
        </references>
      </pivotArea>
    </chartFormat>
    <chartFormat chart="10" format="3">
      <pivotArea type="data" outline="0" fieldPosition="0">
        <references count="2">
          <reference field="4294967294" count="1" selected="0">
            <x v="0"/>
          </reference>
          <reference field="4" count="1" selected="0">
            <x v="3"/>
          </reference>
        </references>
      </pivotArea>
    </chartFormat>
    <chartFormat chart="10" format="4">
      <pivotArea type="data" outline="0" fieldPosition="0">
        <references count="2">
          <reference field="4294967294" count="1" selected="0">
            <x v="0"/>
          </reference>
          <reference field="4" count="1" selected="0">
            <x v="6"/>
          </reference>
        </references>
      </pivotArea>
    </chartFormat>
    <chartFormat chart="10" format="5">
      <pivotArea type="data" outline="0" fieldPosition="0">
        <references count="2">
          <reference field="4294967294" count="1" selected="0">
            <x v="0"/>
          </reference>
          <reference field="4" count="1" selected="0">
            <x v="7"/>
          </reference>
        </references>
      </pivotArea>
    </chartFormat>
    <chartFormat chart="10" format="6">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1636E4-F90C-463B-A155-DD4B868F3B75}"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D2:E7" firstHeaderRow="1" firstDataRow="1" firstDataCol="1"/>
  <pivotFields count="18">
    <pivotField showAll="0" defaultSubtotal="0"/>
    <pivotField numFmtId="165" showAll="0" defaultSubtotal="0"/>
    <pivotField axis="axisRow" showAll="0" sortType="ascending" defaultSubtotal="0">
      <items count="4">
        <item x="2"/>
        <item x="0"/>
        <item x="1"/>
        <item x="3"/>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numFmtId="166" showAll="0" defaultSubtotal="0"/>
    <pivotField subtotalTop="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Revenue" fld="9" baseField="2" baseItem="0" numFmtId="164"/>
  </dataFields>
  <formats count="7">
    <format dxfId="8">
      <pivotArea type="all" dataOnly="0" outline="0" fieldPosition="0"/>
    </format>
    <format dxfId="9">
      <pivotArea outline="0" collapsedLevelsAreSubtotals="1" fieldPosition="0"/>
    </format>
    <format dxfId="10">
      <pivotArea field="2" type="button" dataOnly="0" labelOnly="1" outline="0" axis="axisRow" fieldPosition="0"/>
    </format>
    <format dxfId="11">
      <pivotArea dataOnly="0" labelOnly="1" fieldPosition="0">
        <references count="1">
          <reference field="2" count="0"/>
        </references>
      </pivotArea>
    </format>
    <format dxfId="12">
      <pivotArea dataOnly="0" labelOnly="1" grandRow="1" outline="0" fieldPosition="0"/>
    </format>
    <format dxfId="13">
      <pivotArea dataOnly="0" labelOnly="1" outline="0" axis="axisValues" fieldPosition="0"/>
    </format>
    <format dxfId="14">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B1FFCA-4BA0-4112-B49C-0B4C0C643D64}"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ate">
  <location ref="A1:B15" firstHeaderRow="1" firstDataRow="1" firstDataCol="1"/>
  <pivotFields count="18">
    <pivotField showAll="0" defaultSubtotal="0"/>
    <pivotField numFmtId="165" showAll="0" defaultSubtotal="0"/>
    <pivotField showAll="0" defaultSubtotal="0">
      <items count="4">
        <item x="2"/>
        <item x="0"/>
        <item x="1"/>
        <item x="3"/>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items count="12">
        <item x="0"/>
        <item x="1"/>
        <item x="2"/>
        <item x="3"/>
        <item x="4"/>
        <item x="5"/>
        <item x="6"/>
        <item x="7"/>
        <item x="8"/>
        <item x="9"/>
        <item x="10"/>
        <item x="11"/>
      </items>
    </pivotField>
    <pivotField axis="axisRow" showAll="0" sortType="descending" defaultSubtotal="0">
      <items count="1">
        <item x="0"/>
      </items>
    </pivotField>
    <pivotField numFmtId="166" showAll="0" defaultSubtotal="0"/>
    <pivotField axis="axisRow" subtotalTop="0" showAll="0" defaultSubtotal="0">
      <items count="12">
        <item x="0"/>
        <item x="1"/>
        <item x="2"/>
        <item x="3"/>
        <item x="4"/>
        <item x="5"/>
        <item x="6"/>
        <item x="7"/>
        <item x="8"/>
        <item x="9"/>
        <item x="10"/>
        <item x="11"/>
      </items>
    </pivotField>
    <pivotField dragToRow="0" dragToCol="0" dragToPage="0" showAll="0" defaultSubtotal="0"/>
  </pivotFields>
  <rowFields count="2">
    <field x="14"/>
    <field x="16"/>
  </rowFields>
  <rowItems count="14">
    <i>
      <x/>
    </i>
    <i r="1">
      <x/>
    </i>
    <i r="1">
      <x v="1"/>
    </i>
    <i r="1">
      <x v="2"/>
    </i>
    <i r="1">
      <x v="3"/>
    </i>
    <i r="1">
      <x v="4"/>
    </i>
    <i r="1">
      <x v="5"/>
    </i>
    <i r="1">
      <x v="6"/>
    </i>
    <i r="1">
      <x v="7"/>
    </i>
    <i r="1">
      <x v="8"/>
    </i>
    <i r="1">
      <x v="9"/>
    </i>
    <i r="1">
      <x v="10"/>
    </i>
    <i r="1">
      <x v="11"/>
    </i>
    <i t="grand">
      <x/>
    </i>
  </rowItems>
  <colItems count="1">
    <i/>
  </colItems>
  <dataFields count="1">
    <dataField name="Sum of Revenue" fld="9" baseField="14" baseItem="0" numFmtId="164"/>
  </dataFields>
  <formats count="8">
    <format dxfId="15">
      <pivotArea type="all" dataOnly="0" outline="0" fieldPosition="0"/>
    </format>
    <format dxfId="16">
      <pivotArea outline="0" collapsedLevelsAreSubtotals="1" fieldPosition="0"/>
    </format>
    <format dxfId="17">
      <pivotArea field="14" type="button" dataOnly="0" labelOnly="1" outline="0" axis="axisRow" fieldPosition="0"/>
    </format>
    <format dxfId="18">
      <pivotArea dataOnly="0" labelOnly="1" fieldPosition="0">
        <references count="1">
          <reference field="14" count="0"/>
        </references>
      </pivotArea>
    </format>
    <format dxfId="19">
      <pivotArea dataOnly="0" labelOnly="1" grandRow="1" outline="0" fieldPosition="0"/>
    </format>
    <format dxfId="20">
      <pivotArea dataOnly="0" labelOnly="1" outline="0" axis="axisValues" fieldPosition="0"/>
    </format>
    <format dxfId="21">
      <pivotArea dataOnly="0" labelOnly="1" outline="0" axis="axisValues" fieldPosition="0"/>
    </format>
    <format dxfId="2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B178163-27FA-4EEA-A976-BBC0BFA97163}" sourceName="Region">
  <pivotTables>
    <pivotTable tabId="2" name="PivotTable6"/>
    <pivotTable tabId="2" name="PivotTable3"/>
    <pivotTable tabId="2" name="PivotTable7"/>
  </pivotTables>
  <data>
    <tabular pivotCacheId="191175010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E73195F-7A86-4935-A5D4-3A0AD27CB061}" cache="Slicer_Region1" caption="Region" columnCount="4" style="SlicerStyleOther1" rowHeight="10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3CDC9-C838-4627-9287-CB02D8C4CDE2}" name="Table1" displayName="Table1" ref="A3:Q123" totalsRowShown="0">
  <autoFilter ref="A3:Q123" xr:uid="{58E3CDC9-C838-4627-9287-CB02D8C4CDE2}"/>
  <tableColumns count="17">
    <tableColumn id="1" xr3:uid="{B6FD2F2E-C01C-413A-A621-83A4EF8A9C3D}" name="Order_ID"/>
    <tableColumn id="2" xr3:uid="{41260151-2DE2-4A7E-A73A-58AE9924EC24}" name="Date" dataDxfId="0"/>
    <tableColumn id="3" xr3:uid="{43E35B23-D59C-45BD-B44A-2280ED931EF1}" name="Region"/>
    <tableColumn id="4" xr3:uid="{CD8D3658-3608-4E15-A23C-CB29A3108761}" name="Salesperson"/>
    <tableColumn id="5" xr3:uid="{8AD7A860-274C-41AD-9669-FEF7DC8E47B7}" name="Product"/>
    <tableColumn id="6" xr3:uid="{DC781EB1-AFFF-4870-A624-34CF5A0B0172}" name="Category"/>
    <tableColumn id="7" xr3:uid="{9712A0DA-5F85-47C4-9E94-C9B27773B4B5}" name="Units"/>
    <tableColumn id="8" xr3:uid="{0670E0DD-EFEB-41E4-80DB-1258276C7BDC}" name="Unit_Price"/>
    <tableColumn id="9" xr3:uid="{AE43DBA9-1CE5-490B-903D-AAC6E58444E7}" name="Discount_%"/>
    <tableColumn id="10" xr3:uid="{2925AFAA-651A-421F-9771-B904E80D14D7}" name="Revenue"/>
    <tableColumn id="11" xr3:uid="{24A2A945-E6B4-4924-B1A3-F2864B702325}" name="COGS"/>
    <tableColumn id="12" xr3:uid="{6F83878C-CD3A-438D-AF4F-C0B4206F8C66}" name="Profit"/>
    <tableColumn id="13" xr3:uid="{AFFBED4C-EDE3-4512-A92F-1E5972BAC3EF}" name="Date2"/>
    <tableColumn id="14" xr3:uid="{747400B2-9728-479F-BA93-1CD297691680}" name="Month"/>
    <tableColumn id="15" xr3:uid="{355C884B-BDFF-41BF-831D-21B666B9980E}" name="Year"/>
    <tableColumn id="16" xr3:uid="{A0D38F8A-C2D4-4084-92B2-2F29E5878426}" name="Profit Margin"/>
    <tableColumn id="17" xr3:uid="{4F1E512C-15A2-4384-ABDA-1CF77E719268}" name="Month T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1AA6-654F-4E38-A9D8-0A89F0FFEE49}">
  <dimension ref="A1:S27"/>
  <sheetViews>
    <sheetView showGridLines="0" tabSelected="1" zoomScale="40" zoomScaleNormal="40" workbookViewId="0">
      <selection activeCell="Q21" sqref="Q21"/>
    </sheetView>
  </sheetViews>
  <sheetFormatPr defaultRowHeight="15" x14ac:dyDescent="0.25"/>
  <cols>
    <col min="1" max="1" width="32.42578125" bestFit="1" customWidth="1"/>
    <col min="2" max="2" width="24.85546875" bestFit="1" customWidth="1"/>
    <col min="3" max="3" width="29.5703125" bestFit="1" customWidth="1"/>
    <col min="4" max="4" width="21.28515625" bestFit="1" customWidth="1"/>
    <col min="5" max="6" width="25" bestFit="1" customWidth="1"/>
    <col min="8" max="8" width="30" bestFit="1" customWidth="1"/>
    <col min="9" max="9" width="22" bestFit="1" customWidth="1"/>
    <col min="10" max="10" width="30.5703125" bestFit="1" customWidth="1"/>
    <col min="12" max="12" width="24.7109375" bestFit="1" customWidth="1"/>
    <col min="13" max="13" width="21.140625" bestFit="1" customWidth="1"/>
  </cols>
  <sheetData>
    <row r="1" spans="1:19" s="12" customFormat="1" ht="15" customHeight="1" x14ac:dyDescent="0.55000000000000004">
      <c r="A1" s="8" t="s">
        <v>28</v>
      </c>
      <c r="B1" s="8"/>
      <c r="C1" s="8"/>
      <c r="D1" s="8"/>
      <c r="E1" s="8"/>
      <c r="F1" s="8"/>
      <c r="G1" s="8"/>
      <c r="H1" s="8"/>
      <c r="I1" s="8"/>
      <c r="J1" s="8"/>
      <c r="K1" s="8"/>
      <c r="L1" s="8"/>
      <c r="M1" s="8"/>
      <c r="N1" s="8"/>
      <c r="O1" s="8"/>
      <c r="P1" s="8"/>
      <c r="Q1" s="8"/>
      <c r="R1" s="8"/>
      <c r="S1" s="8"/>
    </row>
    <row r="2" spans="1:19" s="12" customFormat="1" ht="15" customHeight="1" x14ac:dyDescent="0.55000000000000004">
      <c r="A2" s="8"/>
      <c r="B2" s="8"/>
      <c r="C2" s="8"/>
      <c r="D2" s="8"/>
      <c r="E2" s="8"/>
      <c r="F2" s="8"/>
      <c r="G2" s="8"/>
      <c r="H2" s="8"/>
      <c r="I2" s="8"/>
      <c r="J2" s="8"/>
      <c r="K2" s="8"/>
      <c r="L2" s="8"/>
      <c r="M2" s="8"/>
      <c r="N2" s="8"/>
      <c r="O2" s="8"/>
      <c r="P2" s="8"/>
      <c r="Q2" s="8"/>
      <c r="R2" s="8"/>
      <c r="S2" s="8"/>
    </row>
    <row r="3" spans="1:19" ht="15" customHeight="1" x14ac:dyDescent="0.25">
      <c r="A3" s="8"/>
      <c r="B3" s="8"/>
      <c r="C3" s="8"/>
      <c r="D3" s="8"/>
      <c r="E3" s="8"/>
      <c r="F3" s="8"/>
      <c r="G3" s="8"/>
      <c r="H3" s="8"/>
      <c r="I3" s="8"/>
      <c r="J3" s="8"/>
      <c r="K3" s="8"/>
      <c r="L3" s="8"/>
      <c r="M3" s="8"/>
      <c r="N3" s="8"/>
      <c r="O3" s="8"/>
      <c r="P3" s="8"/>
      <c r="Q3" s="8"/>
      <c r="R3" s="8"/>
      <c r="S3" s="8"/>
    </row>
    <row r="4" spans="1:19" ht="15" customHeight="1" x14ac:dyDescent="0.55000000000000004">
      <c r="A4" s="7"/>
      <c r="B4" s="7"/>
      <c r="C4" s="7"/>
      <c r="D4" s="7"/>
      <c r="E4" s="7"/>
      <c r="F4" s="7"/>
      <c r="G4" s="7"/>
      <c r="H4" s="7"/>
    </row>
    <row r="5" spans="1:19" ht="28.5" customHeight="1" x14ac:dyDescent="0.55000000000000004">
      <c r="A5" s="7"/>
      <c r="B5" s="7"/>
      <c r="C5" s="7"/>
      <c r="D5" s="7"/>
      <c r="E5" s="7"/>
      <c r="F5" s="7"/>
      <c r="G5" s="7"/>
      <c r="H5" s="11"/>
    </row>
    <row r="26" ht="28.5" x14ac:dyDescent="0.45"/>
    <row r="27" ht="28.5" x14ac:dyDescent="0.45"/>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882-9CD9-4B4E-B9A5-C27864D77322}">
  <dimension ref="A1:Q123"/>
  <sheetViews>
    <sheetView workbookViewId="0">
      <selection activeCell="A3" sqref="A3:Q123"/>
    </sheetView>
  </sheetViews>
  <sheetFormatPr defaultRowHeight="15" x14ac:dyDescent="0.25"/>
  <cols>
    <col min="1" max="1" width="11.28515625" bestFit="1" customWidth="1"/>
    <col min="2" max="2" width="10.42578125" bestFit="1" customWidth="1"/>
    <col min="3" max="3" width="9.5703125" bestFit="1" customWidth="1"/>
    <col min="4" max="4" width="14.42578125" bestFit="1" customWidth="1"/>
    <col min="5" max="5" width="16.85546875" bestFit="1" customWidth="1"/>
    <col min="6" max="6" width="11.42578125" bestFit="1" customWidth="1"/>
    <col min="7" max="7" width="9.28515625" bestFit="1" customWidth="1"/>
    <col min="8" max="8" width="12.42578125" bestFit="1" customWidth="1"/>
    <col min="9" max="9" width="13.85546875" bestFit="1" customWidth="1"/>
    <col min="10" max="10" width="11.28515625" bestFit="1" customWidth="1"/>
    <col min="11" max="15" width="9.28515625" bestFit="1" customWidth="1"/>
    <col min="16" max="16" width="14.7109375" bestFit="1" customWidth="1"/>
    <col min="17" max="17" width="12.140625" bestFit="1" customWidth="1"/>
  </cols>
  <sheetData>
    <row r="1" spans="1:17" x14ac:dyDescent="0.25">
      <c r="A1" s="10" t="s">
        <v>178</v>
      </c>
    </row>
    <row r="3" spans="1:17" x14ac:dyDescent="0.25">
      <c r="A3" t="s">
        <v>29</v>
      </c>
      <c r="B3" t="s">
        <v>2</v>
      </c>
      <c r="C3" t="s">
        <v>16</v>
      </c>
      <c r="D3" t="s">
        <v>30</v>
      </c>
      <c r="E3" t="s">
        <v>31</v>
      </c>
      <c r="F3" t="s">
        <v>32</v>
      </c>
      <c r="G3" t="s">
        <v>33</v>
      </c>
      <c r="H3" t="s">
        <v>34</v>
      </c>
      <c r="I3" t="s">
        <v>35</v>
      </c>
      <c r="J3" t="s">
        <v>36</v>
      </c>
      <c r="K3" t="s">
        <v>37</v>
      </c>
      <c r="L3" t="s">
        <v>38</v>
      </c>
      <c r="M3" t="s">
        <v>39</v>
      </c>
      <c r="N3" t="s">
        <v>40</v>
      </c>
      <c r="O3" t="s">
        <v>41</v>
      </c>
      <c r="P3" t="s">
        <v>42</v>
      </c>
      <c r="Q3" t="s">
        <v>43</v>
      </c>
    </row>
    <row r="4" spans="1:17" x14ac:dyDescent="0.25">
      <c r="A4" t="s">
        <v>44</v>
      </c>
      <c r="B4" s="9">
        <v>45295</v>
      </c>
      <c r="C4" t="s">
        <v>17</v>
      </c>
      <c r="D4" t="s">
        <v>45</v>
      </c>
      <c r="E4" t="s">
        <v>46</v>
      </c>
      <c r="F4" t="s">
        <v>47</v>
      </c>
      <c r="G4">
        <v>5</v>
      </c>
      <c r="H4">
        <v>1200</v>
      </c>
      <c r="I4">
        <v>0</v>
      </c>
      <c r="J4">
        <v>6000</v>
      </c>
      <c r="K4">
        <v>3500</v>
      </c>
      <c r="L4">
        <v>2500</v>
      </c>
      <c r="M4">
        <v>4</v>
      </c>
      <c r="N4">
        <v>1</v>
      </c>
      <c r="O4">
        <v>2024</v>
      </c>
      <c r="P4">
        <v>0.41666666666666669</v>
      </c>
      <c r="Q4" t="s">
        <v>3</v>
      </c>
    </row>
    <row r="5" spans="1:17" x14ac:dyDescent="0.25">
      <c r="A5" t="s">
        <v>48</v>
      </c>
      <c r="B5" s="9">
        <v>45301</v>
      </c>
      <c r="C5" t="s">
        <v>17</v>
      </c>
      <c r="D5" t="s">
        <v>49</v>
      </c>
      <c r="E5" t="s">
        <v>24</v>
      </c>
      <c r="F5" t="s">
        <v>47</v>
      </c>
      <c r="G5">
        <v>1</v>
      </c>
      <c r="H5">
        <v>18000</v>
      </c>
      <c r="I5">
        <v>5</v>
      </c>
      <c r="J5">
        <v>17100</v>
      </c>
      <c r="K5">
        <v>11000</v>
      </c>
      <c r="L5">
        <v>6100</v>
      </c>
      <c r="M5">
        <v>10</v>
      </c>
      <c r="N5">
        <v>1</v>
      </c>
      <c r="O5">
        <v>2024</v>
      </c>
      <c r="P5">
        <v>0.35672514619883039</v>
      </c>
      <c r="Q5" t="s">
        <v>3</v>
      </c>
    </row>
    <row r="6" spans="1:17" x14ac:dyDescent="0.25">
      <c r="A6" t="s">
        <v>50</v>
      </c>
      <c r="B6" s="9">
        <v>45316</v>
      </c>
      <c r="C6" t="s">
        <v>17</v>
      </c>
      <c r="D6" t="s">
        <v>51</v>
      </c>
      <c r="E6" t="s">
        <v>22</v>
      </c>
      <c r="F6" t="s">
        <v>52</v>
      </c>
      <c r="G6">
        <v>14</v>
      </c>
      <c r="H6">
        <v>32000</v>
      </c>
      <c r="I6">
        <v>0</v>
      </c>
      <c r="J6">
        <v>448000</v>
      </c>
      <c r="K6">
        <v>280000</v>
      </c>
      <c r="L6">
        <v>168000</v>
      </c>
      <c r="M6">
        <v>25</v>
      </c>
      <c r="N6">
        <v>1</v>
      </c>
      <c r="O6">
        <v>2024</v>
      </c>
      <c r="P6">
        <v>0.375</v>
      </c>
      <c r="Q6" t="s">
        <v>3</v>
      </c>
    </row>
    <row r="7" spans="1:17" x14ac:dyDescent="0.25">
      <c r="A7" t="s">
        <v>53</v>
      </c>
      <c r="B7" s="9">
        <v>45335</v>
      </c>
      <c r="C7" t="s">
        <v>17</v>
      </c>
      <c r="D7" t="s">
        <v>54</v>
      </c>
      <c r="E7" t="s">
        <v>27</v>
      </c>
      <c r="F7" t="s">
        <v>47</v>
      </c>
      <c r="G7">
        <v>3</v>
      </c>
      <c r="H7">
        <v>40000</v>
      </c>
      <c r="I7">
        <v>10</v>
      </c>
      <c r="J7">
        <v>108000</v>
      </c>
      <c r="K7">
        <v>78000</v>
      </c>
      <c r="L7">
        <v>30000</v>
      </c>
      <c r="M7">
        <v>13</v>
      </c>
      <c r="N7">
        <v>2</v>
      </c>
      <c r="O7">
        <v>2024</v>
      </c>
      <c r="P7">
        <v>0.27777777777777779</v>
      </c>
      <c r="Q7" t="s">
        <v>4</v>
      </c>
    </row>
    <row r="8" spans="1:17" x14ac:dyDescent="0.25">
      <c r="A8" t="s">
        <v>55</v>
      </c>
      <c r="B8" s="9">
        <v>45348</v>
      </c>
      <c r="C8" t="s">
        <v>17</v>
      </c>
      <c r="D8" t="s">
        <v>56</v>
      </c>
      <c r="E8" t="s">
        <v>26</v>
      </c>
      <c r="F8" t="s">
        <v>52</v>
      </c>
      <c r="G8">
        <v>2</v>
      </c>
      <c r="H8">
        <v>28000</v>
      </c>
      <c r="I8">
        <v>5</v>
      </c>
      <c r="J8">
        <v>53200</v>
      </c>
      <c r="K8">
        <v>36000</v>
      </c>
      <c r="L8">
        <v>17200</v>
      </c>
      <c r="M8">
        <v>26</v>
      </c>
      <c r="N8">
        <v>2</v>
      </c>
      <c r="O8">
        <v>2024</v>
      </c>
      <c r="P8">
        <v>0.32330827067669171</v>
      </c>
      <c r="Q8" t="s">
        <v>4</v>
      </c>
    </row>
    <row r="9" spans="1:17" x14ac:dyDescent="0.25">
      <c r="A9" t="s">
        <v>57</v>
      </c>
      <c r="B9" s="9">
        <v>45341</v>
      </c>
      <c r="C9" t="s">
        <v>17</v>
      </c>
      <c r="D9" t="s">
        <v>49</v>
      </c>
      <c r="E9" t="s">
        <v>58</v>
      </c>
      <c r="F9" t="s">
        <v>52</v>
      </c>
      <c r="G9">
        <v>7</v>
      </c>
      <c r="H9">
        <v>3500</v>
      </c>
      <c r="I9">
        <v>15</v>
      </c>
      <c r="J9">
        <v>20825</v>
      </c>
      <c r="K9">
        <v>14000</v>
      </c>
      <c r="L9">
        <v>6825</v>
      </c>
      <c r="M9">
        <v>19</v>
      </c>
      <c r="N9">
        <v>2</v>
      </c>
      <c r="O9">
        <v>2024</v>
      </c>
      <c r="P9">
        <v>0.32773109243697479</v>
      </c>
      <c r="Q9" t="s">
        <v>4</v>
      </c>
    </row>
    <row r="10" spans="1:17" x14ac:dyDescent="0.25">
      <c r="A10" t="s">
        <v>59</v>
      </c>
      <c r="B10" s="9">
        <v>45327</v>
      </c>
      <c r="C10" t="s">
        <v>17</v>
      </c>
      <c r="D10" t="s">
        <v>60</v>
      </c>
      <c r="E10" t="s">
        <v>22</v>
      </c>
      <c r="F10" t="s">
        <v>52</v>
      </c>
      <c r="G10">
        <v>12</v>
      </c>
      <c r="H10">
        <v>32000</v>
      </c>
      <c r="I10">
        <v>20</v>
      </c>
      <c r="J10">
        <v>307200</v>
      </c>
      <c r="K10">
        <v>240000</v>
      </c>
      <c r="L10">
        <v>67200</v>
      </c>
      <c r="M10">
        <v>5</v>
      </c>
      <c r="N10">
        <v>2</v>
      </c>
      <c r="O10">
        <v>2024</v>
      </c>
      <c r="P10">
        <v>0.21875</v>
      </c>
      <c r="Q10" t="s">
        <v>4</v>
      </c>
    </row>
    <row r="11" spans="1:17" x14ac:dyDescent="0.25">
      <c r="A11" t="s">
        <v>61</v>
      </c>
      <c r="B11" s="9">
        <v>45340</v>
      </c>
      <c r="C11" t="s">
        <v>17</v>
      </c>
      <c r="D11" t="s">
        <v>56</v>
      </c>
      <c r="E11" t="s">
        <v>46</v>
      </c>
      <c r="F11" t="s">
        <v>47</v>
      </c>
      <c r="G11">
        <v>7</v>
      </c>
      <c r="H11">
        <v>1200</v>
      </c>
      <c r="I11">
        <v>10</v>
      </c>
      <c r="J11">
        <v>7560</v>
      </c>
      <c r="K11">
        <v>4900</v>
      </c>
      <c r="L11">
        <v>2660</v>
      </c>
      <c r="M11">
        <v>18</v>
      </c>
      <c r="N11">
        <v>2</v>
      </c>
      <c r="O11">
        <v>2024</v>
      </c>
      <c r="P11">
        <v>0.35185185185185186</v>
      </c>
      <c r="Q11" t="s">
        <v>4</v>
      </c>
    </row>
    <row r="12" spans="1:17" x14ac:dyDescent="0.25">
      <c r="A12" t="s">
        <v>62</v>
      </c>
      <c r="B12" s="9">
        <v>45368</v>
      </c>
      <c r="C12" t="s">
        <v>17</v>
      </c>
      <c r="D12" t="s">
        <v>63</v>
      </c>
      <c r="E12" t="s">
        <v>24</v>
      </c>
      <c r="F12" t="s">
        <v>47</v>
      </c>
      <c r="G12">
        <v>11</v>
      </c>
      <c r="H12">
        <v>18000</v>
      </c>
      <c r="I12">
        <v>20</v>
      </c>
      <c r="J12">
        <v>158400</v>
      </c>
      <c r="K12">
        <v>121000</v>
      </c>
      <c r="L12">
        <v>37400</v>
      </c>
      <c r="M12">
        <v>17</v>
      </c>
      <c r="N12">
        <v>3</v>
      </c>
      <c r="O12">
        <v>2024</v>
      </c>
      <c r="P12">
        <v>0.2361111111111111</v>
      </c>
      <c r="Q12" t="s">
        <v>5</v>
      </c>
    </row>
    <row r="13" spans="1:17" x14ac:dyDescent="0.25">
      <c r="A13" t="s">
        <v>64</v>
      </c>
      <c r="B13" s="9">
        <v>45376</v>
      </c>
      <c r="C13" t="s">
        <v>17</v>
      </c>
      <c r="D13" t="s">
        <v>45</v>
      </c>
      <c r="E13" t="s">
        <v>24</v>
      </c>
      <c r="F13" t="s">
        <v>47</v>
      </c>
      <c r="G13">
        <v>5</v>
      </c>
      <c r="H13">
        <v>18000</v>
      </c>
      <c r="I13">
        <v>15</v>
      </c>
      <c r="J13">
        <v>76500</v>
      </c>
      <c r="K13">
        <v>55000</v>
      </c>
      <c r="L13">
        <v>21500</v>
      </c>
      <c r="M13">
        <v>25</v>
      </c>
      <c r="N13">
        <v>3</v>
      </c>
      <c r="O13">
        <v>2024</v>
      </c>
      <c r="P13">
        <v>0.28104575163398693</v>
      </c>
      <c r="Q13" t="s">
        <v>5</v>
      </c>
    </row>
    <row r="14" spans="1:17" x14ac:dyDescent="0.25">
      <c r="A14" t="s">
        <v>65</v>
      </c>
      <c r="B14" s="9">
        <v>45356</v>
      </c>
      <c r="C14" t="s">
        <v>17</v>
      </c>
      <c r="D14" t="s">
        <v>60</v>
      </c>
      <c r="E14" t="s">
        <v>66</v>
      </c>
      <c r="F14" t="s">
        <v>47</v>
      </c>
      <c r="G14">
        <v>13</v>
      </c>
      <c r="H14">
        <v>2500</v>
      </c>
      <c r="I14">
        <v>20</v>
      </c>
      <c r="J14">
        <v>26000</v>
      </c>
      <c r="K14">
        <v>18200</v>
      </c>
      <c r="L14">
        <v>7800</v>
      </c>
      <c r="M14">
        <v>5</v>
      </c>
      <c r="N14">
        <v>3</v>
      </c>
      <c r="O14">
        <v>2024</v>
      </c>
      <c r="P14">
        <v>0.3</v>
      </c>
      <c r="Q14" t="s">
        <v>5</v>
      </c>
    </row>
    <row r="15" spans="1:17" x14ac:dyDescent="0.25">
      <c r="A15" t="s">
        <v>67</v>
      </c>
      <c r="B15" s="9">
        <v>45352</v>
      </c>
      <c r="C15" t="s">
        <v>17</v>
      </c>
      <c r="D15" t="s">
        <v>54</v>
      </c>
      <c r="E15" t="s">
        <v>23</v>
      </c>
      <c r="F15" t="s">
        <v>47</v>
      </c>
      <c r="G15">
        <v>2</v>
      </c>
      <c r="H15">
        <v>55000</v>
      </c>
      <c r="I15">
        <v>10</v>
      </c>
      <c r="J15">
        <v>99000</v>
      </c>
      <c r="K15">
        <v>70000</v>
      </c>
      <c r="L15">
        <v>29000</v>
      </c>
      <c r="M15">
        <v>1</v>
      </c>
      <c r="N15">
        <v>3</v>
      </c>
      <c r="O15">
        <v>2024</v>
      </c>
      <c r="P15">
        <v>0.29292929292929293</v>
      </c>
      <c r="Q15" t="s">
        <v>5</v>
      </c>
    </row>
    <row r="16" spans="1:17" x14ac:dyDescent="0.25">
      <c r="A16" t="s">
        <v>68</v>
      </c>
      <c r="B16" s="9">
        <v>45378</v>
      </c>
      <c r="C16" t="s">
        <v>17</v>
      </c>
      <c r="D16" t="s">
        <v>49</v>
      </c>
      <c r="E16" t="s">
        <v>23</v>
      </c>
      <c r="F16" t="s">
        <v>47</v>
      </c>
      <c r="G16">
        <v>4</v>
      </c>
      <c r="H16">
        <v>55000</v>
      </c>
      <c r="I16">
        <v>20</v>
      </c>
      <c r="J16">
        <v>176000</v>
      </c>
      <c r="K16">
        <v>140000</v>
      </c>
      <c r="L16">
        <v>36000</v>
      </c>
      <c r="M16">
        <v>27</v>
      </c>
      <c r="N16">
        <v>3</v>
      </c>
      <c r="O16">
        <v>2024</v>
      </c>
      <c r="P16">
        <v>0.20454545454545456</v>
      </c>
      <c r="Q16" t="s">
        <v>5</v>
      </c>
    </row>
    <row r="17" spans="1:17" x14ac:dyDescent="0.25">
      <c r="A17" t="s">
        <v>69</v>
      </c>
      <c r="B17" s="9">
        <v>45405</v>
      </c>
      <c r="C17" t="s">
        <v>17</v>
      </c>
      <c r="D17" t="s">
        <v>56</v>
      </c>
      <c r="E17" t="s">
        <v>27</v>
      </c>
      <c r="F17" t="s">
        <v>47</v>
      </c>
      <c r="G17">
        <v>8</v>
      </c>
      <c r="H17">
        <v>40000</v>
      </c>
      <c r="I17">
        <v>20</v>
      </c>
      <c r="J17">
        <v>256000</v>
      </c>
      <c r="K17">
        <v>208000</v>
      </c>
      <c r="L17">
        <v>48000</v>
      </c>
      <c r="M17">
        <v>23</v>
      </c>
      <c r="N17">
        <v>4</v>
      </c>
      <c r="O17">
        <v>2024</v>
      </c>
      <c r="P17">
        <v>0.1875</v>
      </c>
      <c r="Q17" t="s">
        <v>6</v>
      </c>
    </row>
    <row r="18" spans="1:17" x14ac:dyDescent="0.25">
      <c r="A18" t="s">
        <v>70</v>
      </c>
      <c r="B18" s="9">
        <v>45390</v>
      </c>
      <c r="C18" t="s">
        <v>17</v>
      </c>
      <c r="D18" t="s">
        <v>54</v>
      </c>
      <c r="E18" t="s">
        <v>22</v>
      </c>
      <c r="F18" t="s">
        <v>52</v>
      </c>
      <c r="G18">
        <v>9</v>
      </c>
      <c r="H18">
        <v>32000</v>
      </c>
      <c r="I18">
        <v>5</v>
      </c>
      <c r="J18">
        <v>273600</v>
      </c>
      <c r="K18">
        <v>180000</v>
      </c>
      <c r="L18">
        <v>93600</v>
      </c>
      <c r="M18">
        <v>8</v>
      </c>
      <c r="N18">
        <v>4</v>
      </c>
      <c r="O18">
        <v>2024</v>
      </c>
      <c r="P18">
        <v>0.34210526315789475</v>
      </c>
      <c r="Q18" t="s">
        <v>6</v>
      </c>
    </row>
    <row r="19" spans="1:17" x14ac:dyDescent="0.25">
      <c r="A19" t="s">
        <v>71</v>
      </c>
      <c r="B19" s="9">
        <v>45406</v>
      </c>
      <c r="C19" t="s">
        <v>17</v>
      </c>
      <c r="D19" t="s">
        <v>51</v>
      </c>
      <c r="E19" t="s">
        <v>22</v>
      </c>
      <c r="F19" t="s">
        <v>52</v>
      </c>
      <c r="G19">
        <v>4</v>
      </c>
      <c r="H19">
        <v>32000</v>
      </c>
      <c r="I19">
        <v>5</v>
      </c>
      <c r="J19">
        <v>121600</v>
      </c>
      <c r="K19">
        <v>80000</v>
      </c>
      <c r="L19">
        <v>41600</v>
      </c>
      <c r="M19">
        <v>24</v>
      </c>
      <c r="N19">
        <v>4</v>
      </c>
      <c r="O19">
        <v>2024</v>
      </c>
      <c r="P19">
        <v>0.34210526315789475</v>
      </c>
      <c r="Q19" t="s">
        <v>6</v>
      </c>
    </row>
    <row r="20" spans="1:17" x14ac:dyDescent="0.25">
      <c r="A20" t="s">
        <v>72</v>
      </c>
      <c r="B20" s="9">
        <v>45462</v>
      </c>
      <c r="C20" t="s">
        <v>17</v>
      </c>
      <c r="D20" t="s">
        <v>73</v>
      </c>
      <c r="E20" t="s">
        <v>22</v>
      </c>
      <c r="F20" t="s">
        <v>52</v>
      </c>
      <c r="G20">
        <v>11</v>
      </c>
      <c r="H20">
        <v>32000</v>
      </c>
      <c r="I20">
        <v>10</v>
      </c>
      <c r="J20">
        <v>316800</v>
      </c>
      <c r="K20">
        <v>220000</v>
      </c>
      <c r="L20">
        <v>96800</v>
      </c>
      <c r="M20">
        <v>19</v>
      </c>
      <c r="N20">
        <v>6</v>
      </c>
      <c r="O20">
        <v>2024</v>
      </c>
      <c r="P20">
        <v>0.30555555555555558</v>
      </c>
      <c r="Q20" t="s">
        <v>8</v>
      </c>
    </row>
    <row r="21" spans="1:17" x14ac:dyDescent="0.25">
      <c r="A21" t="s">
        <v>74</v>
      </c>
      <c r="B21" s="9">
        <v>45451</v>
      </c>
      <c r="C21" t="s">
        <v>17</v>
      </c>
      <c r="D21" t="s">
        <v>56</v>
      </c>
      <c r="E21" t="s">
        <v>75</v>
      </c>
      <c r="F21" t="s">
        <v>47</v>
      </c>
      <c r="G21">
        <v>11</v>
      </c>
      <c r="H21">
        <v>25000</v>
      </c>
      <c r="I21">
        <v>10</v>
      </c>
      <c r="J21">
        <v>247500</v>
      </c>
      <c r="K21">
        <v>176000</v>
      </c>
      <c r="L21">
        <v>71500</v>
      </c>
      <c r="M21">
        <v>8</v>
      </c>
      <c r="N21">
        <v>6</v>
      </c>
      <c r="O21">
        <v>2024</v>
      </c>
      <c r="P21">
        <v>0.28888888888888886</v>
      </c>
      <c r="Q21" t="s">
        <v>8</v>
      </c>
    </row>
    <row r="22" spans="1:17" x14ac:dyDescent="0.25">
      <c r="A22" t="s">
        <v>76</v>
      </c>
      <c r="B22" s="9">
        <v>45458</v>
      </c>
      <c r="C22" t="s">
        <v>17</v>
      </c>
      <c r="D22" t="s">
        <v>51</v>
      </c>
      <c r="E22" t="s">
        <v>23</v>
      </c>
      <c r="F22" t="s">
        <v>47</v>
      </c>
      <c r="G22">
        <v>8</v>
      </c>
      <c r="H22">
        <v>55000</v>
      </c>
      <c r="I22">
        <v>20</v>
      </c>
      <c r="J22">
        <v>352000</v>
      </c>
      <c r="K22">
        <v>280000</v>
      </c>
      <c r="L22">
        <v>72000</v>
      </c>
      <c r="M22">
        <v>15</v>
      </c>
      <c r="N22">
        <v>6</v>
      </c>
      <c r="O22">
        <v>2024</v>
      </c>
      <c r="P22">
        <v>0.20454545454545456</v>
      </c>
      <c r="Q22" t="s">
        <v>8</v>
      </c>
    </row>
    <row r="23" spans="1:17" x14ac:dyDescent="0.25">
      <c r="A23" t="s">
        <v>77</v>
      </c>
      <c r="B23" s="9">
        <v>45455</v>
      </c>
      <c r="C23" t="s">
        <v>17</v>
      </c>
      <c r="D23" t="s">
        <v>60</v>
      </c>
      <c r="E23" t="s">
        <v>58</v>
      </c>
      <c r="F23" t="s">
        <v>52</v>
      </c>
      <c r="G23">
        <v>14</v>
      </c>
      <c r="H23">
        <v>3500</v>
      </c>
      <c r="I23">
        <v>20</v>
      </c>
      <c r="J23">
        <v>39200</v>
      </c>
      <c r="K23">
        <v>28000</v>
      </c>
      <c r="L23">
        <v>11200</v>
      </c>
      <c r="M23">
        <v>12</v>
      </c>
      <c r="N23">
        <v>6</v>
      </c>
      <c r="O23">
        <v>2024</v>
      </c>
      <c r="P23">
        <v>0.2857142857142857</v>
      </c>
      <c r="Q23" t="s">
        <v>8</v>
      </c>
    </row>
    <row r="24" spans="1:17" x14ac:dyDescent="0.25">
      <c r="A24" t="s">
        <v>78</v>
      </c>
      <c r="B24" s="9">
        <v>45466</v>
      </c>
      <c r="C24" t="s">
        <v>17</v>
      </c>
      <c r="D24" t="s">
        <v>63</v>
      </c>
      <c r="E24" t="s">
        <v>66</v>
      </c>
      <c r="F24" t="s">
        <v>47</v>
      </c>
      <c r="G24">
        <v>5</v>
      </c>
      <c r="H24">
        <v>2500</v>
      </c>
      <c r="I24">
        <v>0</v>
      </c>
      <c r="J24">
        <v>12500</v>
      </c>
      <c r="K24">
        <v>7000</v>
      </c>
      <c r="L24">
        <v>5500</v>
      </c>
      <c r="M24">
        <v>23</v>
      </c>
      <c r="N24">
        <v>6</v>
      </c>
      <c r="O24">
        <v>2024</v>
      </c>
      <c r="P24">
        <v>0.44</v>
      </c>
      <c r="Q24" t="s">
        <v>8</v>
      </c>
    </row>
    <row r="25" spans="1:17" x14ac:dyDescent="0.25">
      <c r="A25" t="s">
        <v>79</v>
      </c>
      <c r="B25" s="9">
        <v>45448</v>
      </c>
      <c r="C25" t="s">
        <v>17</v>
      </c>
      <c r="D25" t="s">
        <v>51</v>
      </c>
      <c r="E25" t="s">
        <v>24</v>
      </c>
      <c r="F25" t="s">
        <v>47</v>
      </c>
      <c r="G25">
        <v>12</v>
      </c>
      <c r="H25">
        <v>18000</v>
      </c>
      <c r="I25">
        <v>20</v>
      </c>
      <c r="J25">
        <v>172800</v>
      </c>
      <c r="K25">
        <v>132000</v>
      </c>
      <c r="L25">
        <v>40800</v>
      </c>
      <c r="M25">
        <v>5</v>
      </c>
      <c r="N25">
        <v>6</v>
      </c>
      <c r="O25">
        <v>2024</v>
      </c>
      <c r="P25">
        <v>0.2361111111111111</v>
      </c>
      <c r="Q25" t="s">
        <v>8</v>
      </c>
    </row>
    <row r="26" spans="1:17" x14ac:dyDescent="0.25">
      <c r="A26" t="s">
        <v>80</v>
      </c>
      <c r="B26" s="9">
        <v>45448</v>
      </c>
      <c r="C26" t="s">
        <v>17</v>
      </c>
      <c r="D26" t="s">
        <v>73</v>
      </c>
      <c r="E26" t="s">
        <v>46</v>
      </c>
      <c r="F26" t="s">
        <v>47</v>
      </c>
      <c r="G26">
        <v>4</v>
      </c>
      <c r="H26">
        <v>1200</v>
      </c>
      <c r="I26">
        <v>10</v>
      </c>
      <c r="J26">
        <v>4320</v>
      </c>
      <c r="K26">
        <v>2800</v>
      </c>
      <c r="L26">
        <v>1520</v>
      </c>
      <c r="M26">
        <v>5</v>
      </c>
      <c r="N26">
        <v>6</v>
      </c>
      <c r="O26">
        <v>2024</v>
      </c>
      <c r="P26">
        <v>0.35185185185185186</v>
      </c>
      <c r="Q26" t="s">
        <v>8</v>
      </c>
    </row>
    <row r="27" spans="1:17" x14ac:dyDescent="0.25">
      <c r="A27" t="s">
        <v>81</v>
      </c>
      <c r="B27" s="9">
        <v>45480</v>
      </c>
      <c r="C27" t="s">
        <v>17</v>
      </c>
      <c r="D27" t="s">
        <v>54</v>
      </c>
      <c r="E27" t="s">
        <v>26</v>
      </c>
      <c r="F27" t="s">
        <v>52</v>
      </c>
      <c r="G27">
        <v>15</v>
      </c>
      <c r="H27">
        <v>28000</v>
      </c>
      <c r="I27">
        <v>0</v>
      </c>
      <c r="J27">
        <v>420000</v>
      </c>
      <c r="K27">
        <v>270000</v>
      </c>
      <c r="L27">
        <v>150000</v>
      </c>
      <c r="M27">
        <v>7</v>
      </c>
      <c r="N27">
        <v>7</v>
      </c>
      <c r="O27">
        <v>2024</v>
      </c>
      <c r="P27">
        <v>0.35714285714285715</v>
      </c>
      <c r="Q27" t="s">
        <v>9</v>
      </c>
    </row>
    <row r="28" spans="1:17" x14ac:dyDescent="0.25">
      <c r="A28" t="s">
        <v>82</v>
      </c>
      <c r="B28" s="9">
        <v>45516</v>
      </c>
      <c r="C28" t="s">
        <v>17</v>
      </c>
      <c r="D28" t="s">
        <v>49</v>
      </c>
      <c r="E28" t="s">
        <v>22</v>
      </c>
      <c r="F28" t="s">
        <v>52</v>
      </c>
      <c r="G28">
        <v>1</v>
      </c>
      <c r="H28">
        <v>32000</v>
      </c>
      <c r="I28">
        <v>5</v>
      </c>
      <c r="J28">
        <v>30400</v>
      </c>
      <c r="K28">
        <v>20000</v>
      </c>
      <c r="L28">
        <v>10400</v>
      </c>
      <c r="M28">
        <v>12</v>
      </c>
      <c r="N28">
        <v>8</v>
      </c>
      <c r="O28">
        <v>2024</v>
      </c>
      <c r="P28">
        <v>0.34210526315789475</v>
      </c>
      <c r="Q28" t="s">
        <v>10</v>
      </c>
    </row>
    <row r="29" spans="1:17" x14ac:dyDescent="0.25">
      <c r="A29" t="s">
        <v>83</v>
      </c>
      <c r="B29" s="9">
        <v>45517</v>
      </c>
      <c r="C29" t="s">
        <v>17</v>
      </c>
      <c r="D29" t="s">
        <v>73</v>
      </c>
      <c r="E29" t="s">
        <v>24</v>
      </c>
      <c r="F29" t="s">
        <v>47</v>
      </c>
      <c r="G29">
        <v>13</v>
      </c>
      <c r="H29">
        <v>18000</v>
      </c>
      <c r="I29">
        <v>10</v>
      </c>
      <c r="J29">
        <v>210600</v>
      </c>
      <c r="K29">
        <v>143000</v>
      </c>
      <c r="L29">
        <v>67600</v>
      </c>
      <c r="M29">
        <v>13</v>
      </c>
      <c r="N29">
        <v>8</v>
      </c>
      <c r="O29">
        <v>2024</v>
      </c>
      <c r="P29">
        <v>0.32098765432098764</v>
      </c>
      <c r="Q29" t="s">
        <v>10</v>
      </c>
    </row>
    <row r="30" spans="1:17" x14ac:dyDescent="0.25">
      <c r="A30" t="s">
        <v>84</v>
      </c>
      <c r="B30" s="9">
        <v>45510</v>
      </c>
      <c r="C30" t="s">
        <v>17</v>
      </c>
      <c r="D30" t="s">
        <v>63</v>
      </c>
      <c r="E30" t="s">
        <v>24</v>
      </c>
      <c r="F30" t="s">
        <v>47</v>
      </c>
      <c r="G30">
        <v>10</v>
      </c>
      <c r="H30">
        <v>18000</v>
      </c>
      <c r="I30">
        <v>15</v>
      </c>
      <c r="J30">
        <v>153000</v>
      </c>
      <c r="K30">
        <v>110000</v>
      </c>
      <c r="L30">
        <v>43000</v>
      </c>
      <c r="M30">
        <v>6</v>
      </c>
      <c r="N30">
        <v>8</v>
      </c>
      <c r="O30">
        <v>2024</v>
      </c>
      <c r="P30">
        <v>0.28104575163398693</v>
      </c>
      <c r="Q30" t="s">
        <v>10</v>
      </c>
    </row>
    <row r="31" spans="1:17" x14ac:dyDescent="0.25">
      <c r="A31" t="s">
        <v>85</v>
      </c>
      <c r="B31" s="9">
        <v>45516</v>
      </c>
      <c r="C31" t="s">
        <v>17</v>
      </c>
      <c r="D31" t="s">
        <v>56</v>
      </c>
      <c r="E31" t="s">
        <v>46</v>
      </c>
      <c r="F31" t="s">
        <v>47</v>
      </c>
      <c r="G31">
        <v>9</v>
      </c>
      <c r="H31">
        <v>1200</v>
      </c>
      <c r="I31">
        <v>0</v>
      </c>
      <c r="J31">
        <v>10800</v>
      </c>
      <c r="K31">
        <v>6300</v>
      </c>
      <c r="L31">
        <v>4500</v>
      </c>
      <c r="M31">
        <v>12</v>
      </c>
      <c r="N31">
        <v>8</v>
      </c>
      <c r="O31">
        <v>2024</v>
      </c>
      <c r="P31">
        <v>0.41666666666666669</v>
      </c>
      <c r="Q31" t="s">
        <v>10</v>
      </c>
    </row>
    <row r="32" spans="1:17" x14ac:dyDescent="0.25">
      <c r="A32" t="s">
        <v>86</v>
      </c>
      <c r="B32" s="9">
        <v>45524</v>
      </c>
      <c r="C32" t="s">
        <v>17</v>
      </c>
      <c r="D32" t="s">
        <v>51</v>
      </c>
      <c r="E32" t="s">
        <v>26</v>
      </c>
      <c r="F32" t="s">
        <v>52</v>
      </c>
      <c r="G32">
        <v>9</v>
      </c>
      <c r="H32">
        <v>28000</v>
      </c>
      <c r="I32">
        <v>10</v>
      </c>
      <c r="J32">
        <v>226800</v>
      </c>
      <c r="K32">
        <v>162000</v>
      </c>
      <c r="L32">
        <v>64800</v>
      </c>
      <c r="M32">
        <v>20</v>
      </c>
      <c r="N32">
        <v>8</v>
      </c>
      <c r="O32">
        <v>2024</v>
      </c>
      <c r="P32">
        <v>0.2857142857142857</v>
      </c>
      <c r="Q32" t="s">
        <v>10</v>
      </c>
    </row>
    <row r="33" spans="1:17" x14ac:dyDescent="0.25">
      <c r="A33" t="s">
        <v>87</v>
      </c>
      <c r="B33" s="9">
        <v>45545</v>
      </c>
      <c r="C33" t="s">
        <v>17</v>
      </c>
      <c r="D33" t="s">
        <v>49</v>
      </c>
      <c r="E33" t="s">
        <v>25</v>
      </c>
      <c r="F33" t="s">
        <v>52</v>
      </c>
      <c r="G33">
        <v>13</v>
      </c>
      <c r="H33">
        <v>12000</v>
      </c>
      <c r="I33">
        <v>20</v>
      </c>
      <c r="J33">
        <v>124800</v>
      </c>
      <c r="K33">
        <v>97500</v>
      </c>
      <c r="L33">
        <v>27300</v>
      </c>
      <c r="M33">
        <v>10</v>
      </c>
      <c r="N33">
        <v>9</v>
      </c>
      <c r="O33">
        <v>2024</v>
      </c>
      <c r="P33">
        <v>0.21875</v>
      </c>
      <c r="Q33" t="s">
        <v>11</v>
      </c>
    </row>
    <row r="34" spans="1:17" x14ac:dyDescent="0.25">
      <c r="A34" t="s">
        <v>88</v>
      </c>
      <c r="B34" s="9">
        <v>45555</v>
      </c>
      <c r="C34" t="s">
        <v>17</v>
      </c>
      <c r="D34" t="s">
        <v>54</v>
      </c>
      <c r="E34" t="s">
        <v>58</v>
      </c>
      <c r="F34" t="s">
        <v>52</v>
      </c>
      <c r="G34">
        <v>8</v>
      </c>
      <c r="H34">
        <v>3500</v>
      </c>
      <c r="I34">
        <v>5</v>
      </c>
      <c r="J34">
        <v>26600</v>
      </c>
      <c r="K34">
        <v>16000</v>
      </c>
      <c r="L34">
        <v>10600</v>
      </c>
      <c r="M34">
        <v>20</v>
      </c>
      <c r="N34">
        <v>9</v>
      </c>
      <c r="O34">
        <v>2024</v>
      </c>
      <c r="P34">
        <v>0.39849624060150374</v>
      </c>
      <c r="Q34" t="s">
        <v>11</v>
      </c>
    </row>
    <row r="35" spans="1:17" x14ac:dyDescent="0.25">
      <c r="A35" t="s">
        <v>89</v>
      </c>
      <c r="B35" s="9">
        <v>45557</v>
      </c>
      <c r="C35" t="s">
        <v>17</v>
      </c>
      <c r="D35" t="s">
        <v>51</v>
      </c>
      <c r="E35" t="s">
        <v>22</v>
      </c>
      <c r="F35" t="s">
        <v>52</v>
      </c>
      <c r="G35">
        <v>11</v>
      </c>
      <c r="H35">
        <v>32000</v>
      </c>
      <c r="I35">
        <v>10</v>
      </c>
      <c r="J35">
        <v>316800</v>
      </c>
      <c r="K35">
        <v>220000</v>
      </c>
      <c r="L35">
        <v>96800</v>
      </c>
      <c r="M35">
        <v>22</v>
      </c>
      <c r="N35">
        <v>9</v>
      </c>
      <c r="O35">
        <v>2024</v>
      </c>
      <c r="P35">
        <v>0.30555555555555558</v>
      </c>
      <c r="Q35" t="s">
        <v>11</v>
      </c>
    </row>
    <row r="36" spans="1:17" x14ac:dyDescent="0.25">
      <c r="A36" t="s">
        <v>90</v>
      </c>
      <c r="B36" s="9">
        <v>45592</v>
      </c>
      <c r="C36" t="s">
        <v>17</v>
      </c>
      <c r="D36" t="s">
        <v>54</v>
      </c>
      <c r="E36" t="s">
        <v>22</v>
      </c>
      <c r="F36" t="s">
        <v>52</v>
      </c>
      <c r="G36">
        <v>5</v>
      </c>
      <c r="H36">
        <v>32000</v>
      </c>
      <c r="I36">
        <v>15</v>
      </c>
      <c r="J36">
        <v>136000</v>
      </c>
      <c r="K36">
        <v>100000</v>
      </c>
      <c r="L36">
        <v>36000</v>
      </c>
      <c r="M36">
        <v>27</v>
      </c>
      <c r="N36">
        <v>10</v>
      </c>
      <c r="O36">
        <v>2024</v>
      </c>
      <c r="P36">
        <v>0.26470588235294118</v>
      </c>
      <c r="Q36" t="s">
        <v>12</v>
      </c>
    </row>
    <row r="37" spans="1:17" x14ac:dyDescent="0.25">
      <c r="A37" t="s">
        <v>91</v>
      </c>
      <c r="B37" s="9">
        <v>45568</v>
      </c>
      <c r="C37" t="s">
        <v>17</v>
      </c>
      <c r="D37" t="s">
        <v>49</v>
      </c>
      <c r="E37" t="s">
        <v>26</v>
      </c>
      <c r="F37" t="s">
        <v>52</v>
      </c>
      <c r="G37">
        <v>6</v>
      </c>
      <c r="H37">
        <v>28000</v>
      </c>
      <c r="I37">
        <v>10</v>
      </c>
      <c r="J37">
        <v>151200</v>
      </c>
      <c r="K37">
        <v>108000</v>
      </c>
      <c r="L37">
        <v>43200</v>
      </c>
      <c r="M37">
        <v>3</v>
      </c>
      <c r="N37">
        <v>10</v>
      </c>
      <c r="O37">
        <v>2024</v>
      </c>
      <c r="P37">
        <v>0.2857142857142857</v>
      </c>
      <c r="Q37" t="s">
        <v>12</v>
      </c>
    </row>
    <row r="38" spans="1:17" x14ac:dyDescent="0.25">
      <c r="A38" t="s">
        <v>92</v>
      </c>
      <c r="B38" s="9">
        <v>45627</v>
      </c>
      <c r="C38" t="s">
        <v>17</v>
      </c>
      <c r="D38" t="s">
        <v>56</v>
      </c>
      <c r="E38" t="s">
        <v>25</v>
      </c>
      <c r="F38" t="s">
        <v>52</v>
      </c>
      <c r="G38">
        <v>12</v>
      </c>
      <c r="H38">
        <v>12000</v>
      </c>
      <c r="I38">
        <v>5</v>
      </c>
      <c r="J38">
        <v>136800</v>
      </c>
      <c r="K38">
        <v>90000</v>
      </c>
      <c r="L38">
        <v>46800</v>
      </c>
      <c r="M38">
        <v>1</v>
      </c>
      <c r="N38">
        <v>12</v>
      </c>
      <c r="O38">
        <v>2024</v>
      </c>
      <c r="P38">
        <v>0.34210526315789475</v>
      </c>
      <c r="Q38" t="s">
        <v>14</v>
      </c>
    </row>
    <row r="39" spans="1:17" x14ac:dyDescent="0.25">
      <c r="A39" t="s">
        <v>93</v>
      </c>
      <c r="B39" s="9">
        <v>45648</v>
      </c>
      <c r="C39" t="s">
        <v>17</v>
      </c>
      <c r="D39" t="s">
        <v>51</v>
      </c>
      <c r="E39" t="s">
        <v>66</v>
      </c>
      <c r="F39" t="s">
        <v>47</v>
      </c>
      <c r="G39">
        <v>11</v>
      </c>
      <c r="H39">
        <v>2500</v>
      </c>
      <c r="I39">
        <v>10</v>
      </c>
      <c r="J39">
        <v>24750</v>
      </c>
      <c r="K39">
        <v>15400</v>
      </c>
      <c r="L39">
        <v>9350</v>
      </c>
      <c r="M39">
        <v>22</v>
      </c>
      <c r="N39">
        <v>12</v>
      </c>
      <c r="O39">
        <v>2024</v>
      </c>
      <c r="P39">
        <v>0.37777777777777777</v>
      </c>
      <c r="Q39" t="s">
        <v>14</v>
      </c>
    </row>
    <row r="40" spans="1:17" x14ac:dyDescent="0.25">
      <c r="A40" t="s">
        <v>94</v>
      </c>
      <c r="B40" s="9">
        <v>45647</v>
      </c>
      <c r="C40" t="s">
        <v>17</v>
      </c>
      <c r="D40" t="s">
        <v>54</v>
      </c>
      <c r="E40" t="s">
        <v>58</v>
      </c>
      <c r="F40" t="s">
        <v>52</v>
      </c>
      <c r="G40">
        <v>7</v>
      </c>
      <c r="H40">
        <v>3500</v>
      </c>
      <c r="I40">
        <v>20</v>
      </c>
      <c r="J40">
        <v>19600</v>
      </c>
      <c r="K40">
        <v>14000</v>
      </c>
      <c r="L40">
        <v>5600</v>
      </c>
      <c r="M40">
        <v>21</v>
      </c>
      <c r="N40">
        <v>12</v>
      </c>
      <c r="O40">
        <v>2024</v>
      </c>
      <c r="P40">
        <v>0.2857142857142857</v>
      </c>
      <c r="Q40" t="s">
        <v>14</v>
      </c>
    </row>
    <row r="41" spans="1:17" x14ac:dyDescent="0.25">
      <c r="A41" t="s">
        <v>95</v>
      </c>
      <c r="B41" s="9">
        <v>45312</v>
      </c>
      <c r="C41" t="s">
        <v>18</v>
      </c>
      <c r="D41" t="s">
        <v>63</v>
      </c>
      <c r="E41" t="s">
        <v>26</v>
      </c>
      <c r="F41" t="s">
        <v>52</v>
      </c>
      <c r="G41">
        <v>4</v>
      </c>
      <c r="H41">
        <v>28000</v>
      </c>
      <c r="I41">
        <v>5</v>
      </c>
      <c r="J41">
        <v>106400</v>
      </c>
      <c r="K41">
        <v>72000</v>
      </c>
      <c r="L41">
        <v>34400</v>
      </c>
      <c r="M41">
        <v>21</v>
      </c>
      <c r="N41">
        <v>1</v>
      </c>
      <c r="O41">
        <v>2024</v>
      </c>
      <c r="P41">
        <v>0.32330827067669171</v>
      </c>
      <c r="Q41" t="s">
        <v>3</v>
      </c>
    </row>
    <row r="42" spans="1:17" x14ac:dyDescent="0.25">
      <c r="A42" t="s">
        <v>96</v>
      </c>
      <c r="B42" s="9">
        <v>45296</v>
      </c>
      <c r="C42" t="s">
        <v>18</v>
      </c>
      <c r="D42" t="s">
        <v>51</v>
      </c>
      <c r="E42" t="s">
        <v>46</v>
      </c>
      <c r="F42" t="s">
        <v>47</v>
      </c>
      <c r="G42">
        <v>7</v>
      </c>
      <c r="H42">
        <v>1200</v>
      </c>
      <c r="I42">
        <v>0</v>
      </c>
      <c r="J42">
        <v>8400</v>
      </c>
      <c r="K42">
        <v>4900</v>
      </c>
      <c r="L42">
        <v>3500</v>
      </c>
      <c r="M42">
        <v>5</v>
      </c>
      <c r="N42">
        <v>1</v>
      </c>
      <c r="O42">
        <v>2024</v>
      </c>
      <c r="P42">
        <v>0.41666666666666669</v>
      </c>
      <c r="Q42" t="s">
        <v>3</v>
      </c>
    </row>
    <row r="43" spans="1:17" x14ac:dyDescent="0.25">
      <c r="A43" t="s">
        <v>97</v>
      </c>
      <c r="B43" s="9">
        <v>45292</v>
      </c>
      <c r="C43" t="s">
        <v>18</v>
      </c>
      <c r="D43" t="s">
        <v>49</v>
      </c>
      <c r="E43" t="s">
        <v>22</v>
      </c>
      <c r="F43" t="s">
        <v>52</v>
      </c>
      <c r="G43">
        <v>9</v>
      </c>
      <c r="H43">
        <v>32000</v>
      </c>
      <c r="I43">
        <v>20</v>
      </c>
      <c r="J43">
        <v>230400</v>
      </c>
      <c r="K43">
        <v>180000</v>
      </c>
      <c r="L43">
        <v>50400</v>
      </c>
      <c r="M43">
        <v>1</v>
      </c>
      <c r="N43">
        <v>1</v>
      </c>
      <c r="O43">
        <v>2024</v>
      </c>
      <c r="P43">
        <v>0.21875</v>
      </c>
      <c r="Q43" t="s">
        <v>3</v>
      </c>
    </row>
    <row r="44" spans="1:17" x14ac:dyDescent="0.25">
      <c r="A44" t="s">
        <v>98</v>
      </c>
      <c r="B44" s="9">
        <v>45300</v>
      </c>
      <c r="C44" t="s">
        <v>18</v>
      </c>
      <c r="D44" t="s">
        <v>60</v>
      </c>
      <c r="E44" t="s">
        <v>25</v>
      </c>
      <c r="F44" t="s">
        <v>52</v>
      </c>
      <c r="G44">
        <v>6</v>
      </c>
      <c r="H44">
        <v>12000</v>
      </c>
      <c r="I44">
        <v>10</v>
      </c>
      <c r="J44">
        <v>64800</v>
      </c>
      <c r="K44">
        <v>45000</v>
      </c>
      <c r="L44">
        <v>19800</v>
      </c>
      <c r="M44">
        <v>9</v>
      </c>
      <c r="N44">
        <v>1</v>
      </c>
      <c r="O44">
        <v>2024</v>
      </c>
      <c r="P44">
        <v>0.30555555555555558</v>
      </c>
      <c r="Q44" t="s">
        <v>3</v>
      </c>
    </row>
    <row r="45" spans="1:17" x14ac:dyDescent="0.25">
      <c r="A45" t="s">
        <v>99</v>
      </c>
      <c r="B45" s="9">
        <v>45350</v>
      </c>
      <c r="C45" t="s">
        <v>18</v>
      </c>
      <c r="D45" t="s">
        <v>60</v>
      </c>
      <c r="E45" t="s">
        <v>75</v>
      </c>
      <c r="F45" t="s">
        <v>47</v>
      </c>
      <c r="G45">
        <v>13</v>
      </c>
      <c r="H45">
        <v>25000</v>
      </c>
      <c r="I45">
        <v>15</v>
      </c>
      <c r="J45">
        <v>276250</v>
      </c>
      <c r="K45">
        <v>208000</v>
      </c>
      <c r="L45">
        <v>68250</v>
      </c>
      <c r="M45">
        <v>28</v>
      </c>
      <c r="N45">
        <v>2</v>
      </c>
      <c r="O45">
        <v>2024</v>
      </c>
      <c r="P45">
        <v>0.24705882352941178</v>
      </c>
      <c r="Q45" t="s">
        <v>4</v>
      </c>
    </row>
    <row r="46" spans="1:17" x14ac:dyDescent="0.25">
      <c r="A46" t="s">
        <v>100</v>
      </c>
      <c r="B46" s="9">
        <v>45371</v>
      </c>
      <c r="C46" t="s">
        <v>18</v>
      </c>
      <c r="D46" t="s">
        <v>56</v>
      </c>
      <c r="E46" t="s">
        <v>25</v>
      </c>
      <c r="F46" t="s">
        <v>52</v>
      </c>
      <c r="G46">
        <v>10</v>
      </c>
      <c r="H46">
        <v>12000</v>
      </c>
      <c r="I46">
        <v>15</v>
      </c>
      <c r="J46">
        <v>102000</v>
      </c>
      <c r="K46">
        <v>75000</v>
      </c>
      <c r="L46">
        <v>27000</v>
      </c>
      <c r="M46">
        <v>20</v>
      </c>
      <c r="N46">
        <v>3</v>
      </c>
      <c r="O46">
        <v>2024</v>
      </c>
      <c r="P46">
        <v>0.26470588235294118</v>
      </c>
      <c r="Q46" t="s">
        <v>5</v>
      </c>
    </row>
    <row r="47" spans="1:17" x14ac:dyDescent="0.25">
      <c r="A47" t="s">
        <v>101</v>
      </c>
      <c r="B47" s="9">
        <v>45368</v>
      </c>
      <c r="C47" t="s">
        <v>18</v>
      </c>
      <c r="D47" t="s">
        <v>73</v>
      </c>
      <c r="E47" t="s">
        <v>66</v>
      </c>
      <c r="F47" t="s">
        <v>47</v>
      </c>
      <c r="G47">
        <v>10</v>
      </c>
      <c r="H47">
        <v>2500</v>
      </c>
      <c r="I47">
        <v>5</v>
      </c>
      <c r="J47">
        <v>23750</v>
      </c>
      <c r="K47">
        <v>14000</v>
      </c>
      <c r="L47">
        <v>9750</v>
      </c>
      <c r="M47">
        <v>17</v>
      </c>
      <c r="N47">
        <v>3</v>
      </c>
      <c r="O47">
        <v>2024</v>
      </c>
      <c r="P47">
        <v>0.41052631578947368</v>
      </c>
      <c r="Q47" t="s">
        <v>5</v>
      </c>
    </row>
    <row r="48" spans="1:17" x14ac:dyDescent="0.25">
      <c r="A48" t="s">
        <v>102</v>
      </c>
      <c r="B48" s="9">
        <v>45354</v>
      </c>
      <c r="C48" t="s">
        <v>18</v>
      </c>
      <c r="D48" t="s">
        <v>54</v>
      </c>
      <c r="E48" t="s">
        <v>24</v>
      </c>
      <c r="F48" t="s">
        <v>47</v>
      </c>
      <c r="G48">
        <v>13</v>
      </c>
      <c r="H48">
        <v>18000</v>
      </c>
      <c r="I48">
        <v>20</v>
      </c>
      <c r="J48">
        <v>187200</v>
      </c>
      <c r="K48">
        <v>143000</v>
      </c>
      <c r="L48">
        <v>44200</v>
      </c>
      <c r="M48">
        <v>3</v>
      </c>
      <c r="N48">
        <v>3</v>
      </c>
      <c r="O48">
        <v>2024</v>
      </c>
      <c r="P48">
        <v>0.2361111111111111</v>
      </c>
      <c r="Q48" t="s">
        <v>5</v>
      </c>
    </row>
    <row r="49" spans="1:17" x14ac:dyDescent="0.25">
      <c r="A49" t="s">
        <v>103</v>
      </c>
      <c r="B49" s="9">
        <v>45397</v>
      </c>
      <c r="C49" t="s">
        <v>18</v>
      </c>
      <c r="D49" t="s">
        <v>49</v>
      </c>
      <c r="E49" t="s">
        <v>22</v>
      </c>
      <c r="F49" t="s">
        <v>52</v>
      </c>
      <c r="G49">
        <v>2</v>
      </c>
      <c r="H49">
        <v>32000</v>
      </c>
      <c r="I49">
        <v>10</v>
      </c>
      <c r="J49">
        <v>57600</v>
      </c>
      <c r="K49">
        <v>40000</v>
      </c>
      <c r="L49">
        <v>17600</v>
      </c>
      <c r="M49">
        <v>15</v>
      </c>
      <c r="N49">
        <v>4</v>
      </c>
      <c r="O49">
        <v>2024</v>
      </c>
      <c r="P49">
        <v>0.30555555555555558</v>
      </c>
      <c r="Q49" t="s">
        <v>6</v>
      </c>
    </row>
    <row r="50" spans="1:17" x14ac:dyDescent="0.25">
      <c r="A50" t="s">
        <v>104</v>
      </c>
      <c r="B50" s="9">
        <v>45390</v>
      </c>
      <c r="C50" t="s">
        <v>18</v>
      </c>
      <c r="D50" t="s">
        <v>63</v>
      </c>
      <c r="E50" t="s">
        <v>27</v>
      </c>
      <c r="F50" t="s">
        <v>47</v>
      </c>
      <c r="G50">
        <v>2</v>
      </c>
      <c r="H50">
        <v>40000</v>
      </c>
      <c r="I50">
        <v>20</v>
      </c>
      <c r="J50">
        <v>64000</v>
      </c>
      <c r="K50">
        <v>52000</v>
      </c>
      <c r="L50">
        <v>12000</v>
      </c>
      <c r="M50">
        <v>8</v>
      </c>
      <c r="N50">
        <v>4</v>
      </c>
      <c r="O50">
        <v>2024</v>
      </c>
      <c r="P50">
        <v>0.1875</v>
      </c>
      <c r="Q50" t="s">
        <v>6</v>
      </c>
    </row>
    <row r="51" spans="1:17" x14ac:dyDescent="0.25">
      <c r="A51" t="s">
        <v>105</v>
      </c>
      <c r="B51" s="9">
        <v>45389</v>
      </c>
      <c r="C51" t="s">
        <v>18</v>
      </c>
      <c r="D51" t="s">
        <v>51</v>
      </c>
      <c r="E51" t="s">
        <v>25</v>
      </c>
      <c r="F51" t="s">
        <v>52</v>
      </c>
      <c r="G51">
        <v>6</v>
      </c>
      <c r="H51">
        <v>12000</v>
      </c>
      <c r="I51">
        <v>15</v>
      </c>
      <c r="J51">
        <v>61200</v>
      </c>
      <c r="K51">
        <v>45000</v>
      </c>
      <c r="L51">
        <v>16200</v>
      </c>
      <c r="M51">
        <v>7</v>
      </c>
      <c r="N51">
        <v>4</v>
      </c>
      <c r="O51">
        <v>2024</v>
      </c>
      <c r="P51">
        <v>0.26470588235294118</v>
      </c>
      <c r="Q51" t="s">
        <v>6</v>
      </c>
    </row>
    <row r="52" spans="1:17" x14ac:dyDescent="0.25">
      <c r="A52" t="s">
        <v>106</v>
      </c>
      <c r="B52" s="9">
        <v>45416</v>
      </c>
      <c r="C52" t="s">
        <v>18</v>
      </c>
      <c r="D52" t="s">
        <v>63</v>
      </c>
      <c r="E52" t="s">
        <v>24</v>
      </c>
      <c r="F52" t="s">
        <v>47</v>
      </c>
      <c r="G52">
        <v>15</v>
      </c>
      <c r="H52">
        <v>18000</v>
      </c>
      <c r="I52">
        <v>5</v>
      </c>
      <c r="J52">
        <v>256500</v>
      </c>
      <c r="K52">
        <v>165000</v>
      </c>
      <c r="L52">
        <v>91500</v>
      </c>
      <c r="M52">
        <v>4</v>
      </c>
      <c r="N52">
        <v>5</v>
      </c>
      <c r="O52">
        <v>2024</v>
      </c>
      <c r="P52">
        <v>0.35672514619883039</v>
      </c>
      <c r="Q52" t="s">
        <v>7</v>
      </c>
    </row>
    <row r="53" spans="1:17" x14ac:dyDescent="0.25">
      <c r="A53" t="s">
        <v>107</v>
      </c>
      <c r="B53" s="9">
        <v>45414</v>
      </c>
      <c r="C53" t="s">
        <v>18</v>
      </c>
      <c r="D53" t="s">
        <v>45</v>
      </c>
      <c r="E53" t="s">
        <v>23</v>
      </c>
      <c r="F53" t="s">
        <v>47</v>
      </c>
      <c r="G53">
        <v>1</v>
      </c>
      <c r="H53">
        <v>55000</v>
      </c>
      <c r="I53">
        <v>20</v>
      </c>
      <c r="J53">
        <v>44000</v>
      </c>
      <c r="K53">
        <v>35000</v>
      </c>
      <c r="L53">
        <v>9000</v>
      </c>
      <c r="M53">
        <v>2</v>
      </c>
      <c r="N53">
        <v>5</v>
      </c>
      <c r="O53">
        <v>2024</v>
      </c>
      <c r="P53">
        <v>0.20454545454545456</v>
      </c>
      <c r="Q53" t="s">
        <v>7</v>
      </c>
    </row>
    <row r="54" spans="1:17" x14ac:dyDescent="0.25">
      <c r="A54" t="s">
        <v>108</v>
      </c>
      <c r="B54" s="9">
        <v>45415</v>
      </c>
      <c r="C54" t="s">
        <v>18</v>
      </c>
      <c r="D54" t="s">
        <v>49</v>
      </c>
      <c r="E54" t="s">
        <v>25</v>
      </c>
      <c r="F54" t="s">
        <v>52</v>
      </c>
      <c r="G54">
        <v>2</v>
      </c>
      <c r="H54">
        <v>12000</v>
      </c>
      <c r="I54">
        <v>20</v>
      </c>
      <c r="J54">
        <v>19200</v>
      </c>
      <c r="K54">
        <v>15000</v>
      </c>
      <c r="L54">
        <v>4200</v>
      </c>
      <c r="M54">
        <v>3</v>
      </c>
      <c r="N54">
        <v>5</v>
      </c>
      <c r="O54">
        <v>2024</v>
      </c>
      <c r="P54">
        <v>0.21875</v>
      </c>
      <c r="Q54" t="s">
        <v>7</v>
      </c>
    </row>
    <row r="55" spans="1:17" x14ac:dyDescent="0.25">
      <c r="A55" t="s">
        <v>109</v>
      </c>
      <c r="B55" s="9">
        <v>45451</v>
      </c>
      <c r="C55" t="s">
        <v>18</v>
      </c>
      <c r="D55" t="s">
        <v>51</v>
      </c>
      <c r="E55" t="s">
        <v>25</v>
      </c>
      <c r="F55" t="s">
        <v>52</v>
      </c>
      <c r="G55">
        <v>11</v>
      </c>
      <c r="H55">
        <v>12000</v>
      </c>
      <c r="I55">
        <v>20</v>
      </c>
      <c r="J55">
        <v>105600</v>
      </c>
      <c r="K55">
        <v>82500</v>
      </c>
      <c r="L55">
        <v>23100</v>
      </c>
      <c r="M55">
        <v>8</v>
      </c>
      <c r="N55">
        <v>6</v>
      </c>
      <c r="O55">
        <v>2024</v>
      </c>
      <c r="P55">
        <v>0.21875</v>
      </c>
      <c r="Q55" t="s">
        <v>8</v>
      </c>
    </row>
    <row r="56" spans="1:17" x14ac:dyDescent="0.25">
      <c r="A56" t="s">
        <v>110</v>
      </c>
      <c r="B56" s="9">
        <v>45462</v>
      </c>
      <c r="C56" t="s">
        <v>18</v>
      </c>
      <c r="D56" t="s">
        <v>51</v>
      </c>
      <c r="E56" t="s">
        <v>66</v>
      </c>
      <c r="F56" t="s">
        <v>47</v>
      </c>
      <c r="G56">
        <v>4</v>
      </c>
      <c r="H56">
        <v>2500</v>
      </c>
      <c r="I56">
        <v>20</v>
      </c>
      <c r="J56">
        <v>8000</v>
      </c>
      <c r="K56">
        <v>5600</v>
      </c>
      <c r="L56">
        <v>2400</v>
      </c>
      <c r="M56">
        <v>19</v>
      </c>
      <c r="N56">
        <v>6</v>
      </c>
      <c r="O56">
        <v>2024</v>
      </c>
      <c r="P56">
        <v>0.3</v>
      </c>
      <c r="Q56" t="s">
        <v>8</v>
      </c>
    </row>
    <row r="57" spans="1:17" x14ac:dyDescent="0.25">
      <c r="A57" t="s">
        <v>111</v>
      </c>
      <c r="B57" s="9">
        <v>45491</v>
      </c>
      <c r="C57" t="s">
        <v>18</v>
      </c>
      <c r="D57" t="s">
        <v>45</v>
      </c>
      <c r="E57" t="s">
        <v>46</v>
      </c>
      <c r="F57" t="s">
        <v>47</v>
      </c>
      <c r="G57">
        <v>9</v>
      </c>
      <c r="H57">
        <v>1200</v>
      </c>
      <c r="I57">
        <v>5</v>
      </c>
      <c r="J57">
        <v>10260</v>
      </c>
      <c r="K57">
        <v>6300</v>
      </c>
      <c r="L57">
        <v>3960</v>
      </c>
      <c r="M57">
        <v>18</v>
      </c>
      <c r="N57">
        <v>7</v>
      </c>
      <c r="O57">
        <v>2024</v>
      </c>
      <c r="P57">
        <v>0.38596491228070173</v>
      </c>
      <c r="Q57" t="s">
        <v>9</v>
      </c>
    </row>
    <row r="58" spans="1:17" x14ac:dyDescent="0.25">
      <c r="A58" t="s">
        <v>112</v>
      </c>
      <c r="B58" s="9">
        <v>45517</v>
      </c>
      <c r="C58" t="s">
        <v>18</v>
      </c>
      <c r="D58" t="s">
        <v>54</v>
      </c>
      <c r="E58" t="s">
        <v>22</v>
      </c>
      <c r="F58" t="s">
        <v>52</v>
      </c>
      <c r="G58">
        <v>4</v>
      </c>
      <c r="H58">
        <v>32000</v>
      </c>
      <c r="I58">
        <v>15</v>
      </c>
      <c r="J58">
        <v>108800</v>
      </c>
      <c r="K58">
        <v>80000</v>
      </c>
      <c r="L58">
        <v>28800</v>
      </c>
      <c r="M58">
        <v>13</v>
      </c>
      <c r="N58">
        <v>8</v>
      </c>
      <c r="O58">
        <v>2024</v>
      </c>
      <c r="P58">
        <v>0.26470588235294118</v>
      </c>
      <c r="Q58" t="s">
        <v>10</v>
      </c>
    </row>
    <row r="59" spans="1:17" x14ac:dyDescent="0.25">
      <c r="A59" t="s">
        <v>113</v>
      </c>
      <c r="B59" s="9">
        <v>45551</v>
      </c>
      <c r="C59" t="s">
        <v>18</v>
      </c>
      <c r="D59" t="s">
        <v>54</v>
      </c>
      <c r="E59" t="s">
        <v>25</v>
      </c>
      <c r="F59" t="s">
        <v>52</v>
      </c>
      <c r="G59">
        <v>15</v>
      </c>
      <c r="H59">
        <v>12000</v>
      </c>
      <c r="I59">
        <v>20</v>
      </c>
      <c r="J59">
        <v>144000</v>
      </c>
      <c r="K59">
        <v>112500</v>
      </c>
      <c r="L59">
        <v>31500</v>
      </c>
      <c r="M59">
        <v>16</v>
      </c>
      <c r="N59">
        <v>9</v>
      </c>
      <c r="O59">
        <v>2024</v>
      </c>
      <c r="P59">
        <v>0.21875</v>
      </c>
      <c r="Q59" t="s">
        <v>11</v>
      </c>
    </row>
    <row r="60" spans="1:17" x14ac:dyDescent="0.25">
      <c r="A60" t="s">
        <v>114</v>
      </c>
      <c r="B60" s="9">
        <v>45556</v>
      </c>
      <c r="C60" t="s">
        <v>18</v>
      </c>
      <c r="D60" t="s">
        <v>51</v>
      </c>
      <c r="E60" t="s">
        <v>25</v>
      </c>
      <c r="F60" t="s">
        <v>52</v>
      </c>
      <c r="G60">
        <v>4</v>
      </c>
      <c r="H60">
        <v>12000</v>
      </c>
      <c r="I60">
        <v>5</v>
      </c>
      <c r="J60">
        <v>45600</v>
      </c>
      <c r="K60">
        <v>30000</v>
      </c>
      <c r="L60">
        <v>15600</v>
      </c>
      <c r="M60">
        <v>21</v>
      </c>
      <c r="N60">
        <v>9</v>
      </c>
      <c r="O60">
        <v>2024</v>
      </c>
      <c r="P60">
        <v>0.34210526315789475</v>
      </c>
      <c r="Q60" t="s">
        <v>11</v>
      </c>
    </row>
    <row r="61" spans="1:17" x14ac:dyDescent="0.25">
      <c r="A61" t="s">
        <v>115</v>
      </c>
      <c r="B61" s="9">
        <v>45583</v>
      </c>
      <c r="C61" t="s">
        <v>18</v>
      </c>
      <c r="D61" t="s">
        <v>60</v>
      </c>
      <c r="E61" t="s">
        <v>75</v>
      </c>
      <c r="F61" t="s">
        <v>47</v>
      </c>
      <c r="G61">
        <v>4</v>
      </c>
      <c r="H61">
        <v>25000</v>
      </c>
      <c r="I61">
        <v>15</v>
      </c>
      <c r="J61">
        <v>85000</v>
      </c>
      <c r="K61">
        <v>64000</v>
      </c>
      <c r="L61">
        <v>21000</v>
      </c>
      <c r="M61">
        <v>18</v>
      </c>
      <c r="N61">
        <v>10</v>
      </c>
      <c r="O61">
        <v>2024</v>
      </c>
      <c r="P61">
        <v>0.24705882352941178</v>
      </c>
      <c r="Q61" t="s">
        <v>12</v>
      </c>
    </row>
    <row r="62" spans="1:17" x14ac:dyDescent="0.25">
      <c r="A62" t="s">
        <v>116</v>
      </c>
      <c r="B62" s="9">
        <v>45578</v>
      </c>
      <c r="C62" t="s">
        <v>18</v>
      </c>
      <c r="D62" t="s">
        <v>56</v>
      </c>
      <c r="E62" t="s">
        <v>58</v>
      </c>
      <c r="F62" t="s">
        <v>52</v>
      </c>
      <c r="G62">
        <v>1</v>
      </c>
      <c r="H62">
        <v>3500</v>
      </c>
      <c r="I62">
        <v>10</v>
      </c>
      <c r="J62">
        <v>3150</v>
      </c>
      <c r="K62">
        <v>2000</v>
      </c>
      <c r="L62">
        <v>1150</v>
      </c>
      <c r="M62">
        <v>13</v>
      </c>
      <c r="N62">
        <v>10</v>
      </c>
      <c r="O62">
        <v>2024</v>
      </c>
      <c r="P62">
        <v>0.36507936507936506</v>
      </c>
      <c r="Q62" t="s">
        <v>12</v>
      </c>
    </row>
    <row r="63" spans="1:17" x14ac:dyDescent="0.25">
      <c r="A63" t="s">
        <v>117</v>
      </c>
      <c r="B63" s="9">
        <v>45612</v>
      </c>
      <c r="C63" t="s">
        <v>18</v>
      </c>
      <c r="D63" t="s">
        <v>56</v>
      </c>
      <c r="E63" t="s">
        <v>27</v>
      </c>
      <c r="F63" t="s">
        <v>47</v>
      </c>
      <c r="G63">
        <v>11</v>
      </c>
      <c r="H63">
        <v>40000</v>
      </c>
      <c r="I63">
        <v>15</v>
      </c>
      <c r="J63">
        <v>374000</v>
      </c>
      <c r="K63">
        <v>286000</v>
      </c>
      <c r="L63">
        <v>88000</v>
      </c>
      <c r="M63">
        <v>16</v>
      </c>
      <c r="N63">
        <v>11</v>
      </c>
      <c r="O63">
        <v>2024</v>
      </c>
      <c r="P63">
        <v>0.23529411764705882</v>
      </c>
      <c r="Q63" t="s">
        <v>13</v>
      </c>
    </row>
    <row r="64" spans="1:17" x14ac:dyDescent="0.25">
      <c r="A64" t="s">
        <v>118</v>
      </c>
      <c r="B64" s="9">
        <v>45620</v>
      </c>
      <c r="C64" t="s">
        <v>18</v>
      </c>
      <c r="D64" t="s">
        <v>45</v>
      </c>
      <c r="E64" t="s">
        <v>22</v>
      </c>
      <c r="F64" t="s">
        <v>52</v>
      </c>
      <c r="G64">
        <v>11</v>
      </c>
      <c r="H64">
        <v>32000</v>
      </c>
      <c r="I64">
        <v>0</v>
      </c>
      <c r="J64">
        <v>352000</v>
      </c>
      <c r="K64">
        <v>220000</v>
      </c>
      <c r="L64">
        <v>132000</v>
      </c>
      <c r="M64">
        <v>24</v>
      </c>
      <c r="N64">
        <v>11</v>
      </c>
      <c r="O64">
        <v>2024</v>
      </c>
      <c r="P64">
        <v>0.375</v>
      </c>
      <c r="Q64" t="s">
        <v>13</v>
      </c>
    </row>
    <row r="65" spans="1:17" x14ac:dyDescent="0.25">
      <c r="A65" t="s">
        <v>119</v>
      </c>
      <c r="B65" s="9">
        <v>45621</v>
      </c>
      <c r="C65" t="s">
        <v>18</v>
      </c>
      <c r="D65" t="s">
        <v>63</v>
      </c>
      <c r="E65" t="s">
        <v>22</v>
      </c>
      <c r="F65" t="s">
        <v>52</v>
      </c>
      <c r="G65">
        <v>4</v>
      </c>
      <c r="H65">
        <v>32000</v>
      </c>
      <c r="I65">
        <v>0</v>
      </c>
      <c r="J65">
        <v>128000</v>
      </c>
      <c r="K65">
        <v>80000</v>
      </c>
      <c r="L65">
        <v>48000</v>
      </c>
      <c r="M65">
        <v>25</v>
      </c>
      <c r="N65">
        <v>11</v>
      </c>
      <c r="O65">
        <v>2024</v>
      </c>
      <c r="P65">
        <v>0.375</v>
      </c>
      <c r="Q65" t="s">
        <v>13</v>
      </c>
    </row>
    <row r="66" spans="1:17" x14ac:dyDescent="0.25">
      <c r="A66" t="s">
        <v>120</v>
      </c>
      <c r="B66" s="9">
        <v>45632</v>
      </c>
      <c r="C66" t="s">
        <v>18</v>
      </c>
      <c r="D66" t="s">
        <v>60</v>
      </c>
      <c r="E66" t="s">
        <v>26</v>
      </c>
      <c r="F66" t="s">
        <v>52</v>
      </c>
      <c r="G66">
        <v>2</v>
      </c>
      <c r="H66">
        <v>28000</v>
      </c>
      <c r="I66">
        <v>20</v>
      </c>
      <c r="J66">
        <v>44800</v>
      </c>
      <c r="K66">
        <v>36000</v>
      </c>
      <c r="L66">
        <v>8800</v>
      </c>
      <c r="M66">
        <v>6</v>
      </c>
      <c r="N66">
        <v>12</v>
      </c>
      <c r="O66">
        <v>2024</v>
      </c>
      <c r="P66">
        <v>0.19642857142857142</v>
      </c>
      <c r="Q66" t="s">
        <v>14</v>
      </c>
    </row>
    <row r="67" spans="1:17" x14ac:dyDescent="0.25">
      <c r="A67" t="s">
        <v>121</v>
      </c>
      <c r="B67" s="9">
        <v>45652</v>
      </c>
      <c r="C67" t="s">
        <v>18</v>
      </c>
      <c r="D67" t="s">
        <v>63</v>
      </c>
      <c r="E67" t="s">
        <v>27</v>
      </c>
      <c r="F67" t="s">
        <v>47</v>
      </c>
      <c r="G67">
        <v>9</v>
      </c>
      <c r="H67">
        <v>40000</v>
      </c>
      <c r="I67">
        <v>15</v>
      </c>
      <c r="J67">
        <v>306000</v>
      </c>
      <c r="K67">
        <v>234000</v>
      </c>
      <c r="L67">
        <v>72000</v>
      </c>
      <c r="M67">
        <v>26</v>
      </c>
      <c r="N67">
        <v>12</v>
      </c>
      <c r="O67">
        <v>2024</v>
      </c>
      <c r="P67">
        <v>0.23529411764705882</v>
      </c>
      <c r="Q67" t="s">
        <v>14</v>
      </c>
    </row>
    <row r="68" spans="1:17" x14ac:dyDescent="0.25">
      <c r="A68" t="s">
        <v>122</v>
      </c>
      <c r="B68" s="9">
        <v>45292</v>
      </c>
      <c r="C68" t="s">
        <v>19</v>
      </c>
      <c r="D68" t="s">
        <v>56</v>
      </c>
      <c r="E68" t="s">
        <v>22</v>
      </c>
      <c r="F68" t="s">
        <v>52</v>
      </c>
      <c r="G68">
        <v>8</v>
      </c>
      <c r="H68">
        <v>32000</v>
      </c>
      <c r="I68">
        <v>20</v>
      </c>
      <c r="J68">
        <v>204800</v>
      </c>
      <c r="K68">
        <v>160000</v>
      </c>
      <c r="L68">
        <v>44800</v>
      </c>
      <c r="M68">
        <v>1</v>
      </c>
      <c r="N68">
        <v>1</v>
      </c>
      <c r="O68">
        <v>2024</v>
      </c>
      <c r="P68">
        <v>0.21875</v>
      </c>
      <c r="Q68" t="s">
        <v>3</v>
      </c>
    </row>
    <row r="69" spans="1:17" x14ac:dyDescent="0.25">
      <c r="A69" t="s">
        <v>123</v>
      </c>
      <c r="B69" s="9">
        <v>45296</v>
      </c>
      <c r="C69" t="s">
        <v>19</v>
      </c>
      <c r="D69" t="s">
        <v>45</v>
      </c>
      <c r="E69" t="s">
        <v>24</v>
      </c>
      <c r="F69" t="s">
        <v>47</v>
      </c>
      <c r="G69">
        <v>2</v>
      </c>
      <c r="H69">
        <v>18000</v>
      </c>
      <c r="I69">
        <v>15</v>
      </c>
      <c r="J69">
        <v>30600</v>
      </c>
      <c r="K69">
        <v>22000</v>
      </c>
      <c r="L69">
        <v>8600</v>
      </c>
      <c r="M69">
        <v>5</v>
      </c>
      <c r="N69">
        <v>1</v>
      </c>
      <c r="O69">
        <v>2024</v>
      </c>
      <c r="P69">
        <v>0.28104575163398693</v>
      </c>
      <c r="Q69" t="s">
        <v>3</v>
      </c>
    </row>
    <row r="70" spans="1:17" x14ac:dyDescent="0.25">
      <c r="A70" t="s">
        <v>124</v>
      </c>
      <c r="B70" s="9">
        <v>45334</v>
      </c>
      <c r="C70" t="s">
        <v>19</v>
      </c>
      <c r="D70" t="s">
        <v>73</v>
      </c>
      <c r="E70" t="s">
        <v>24</v>
      </c>
      <c r="F70" t="s">
        <v>47</v>
      </c>
      <c r="G70">
        <v>10</v>
      </c>
      <c r="H70">
        <v>18000</v>
      </c>
      <c r="I70">
        <v>5</v>
      </c>
      <c r="J70">
        <v>171000</v>
      </c>
      <c r="K70">
        <v>110000</v>
      </c>
      <c r="L70">
        <v>61000</v>
      </c>
      <c r="M70">
        <v>12</v>
      </c>
      <c r="N70">
        <v>2</v>
      </c>
      <c r="O70">
        <v>2024</v>
      </c>
      <c r="P70">
        <v>0.35672514619883039</v>
      </c>
      <c r="Q70" t="s">
        <v>4</v>
      </c>
    </row>
    <row r="71" spans="1:17" x14ac:dyDescent="0.25">
      <c r="A71" t="s">
        <v>125</v>
      </c>
      <c r="B71" s="9">
        <v>45340</v>
      </c>
      <c r="C71" t="s">
        <v>19</v>
      </c>
      <c r="D71" t="s">
        <v>60</v>
      </c>
      <c r="E71" t="s">
        <v>58</v>
      </c>
      <c r="F71" t="s">
        <v>52</v>
      </c>
      <c r="G71">
        <v>7</v>
      </c>
      <c r="H71">
        <v>3500</v>
      </c>
      <c r="I71">
        <v>10</v>
      </c>
      <c r="J71">
        <v>22050</v>
      </c>
      <c r="K71">
        <v>14000</v>
      </c>
      <c r="L71">
        <v>8050</v>
      </c>
      <c r="M71">
        <v>18</v>
      </c>
      <c r="N71">
        <v>2</v>
      </c>
      <c r="O71">
        <v>2024</v>
      </c>
      <c r="P71">
        <v>0.36507936507936506</v>
      </c>
      <c r="Q71" t="s">
        <v>4</v>
      </c>
    </row>
    <row r="72" spans="1:17" x14ac:dyDescent="0.25">
      <c r="A72" t="s">
        <v>126</v>
      </c>
      <c r="B72" s="9">
        <v>45343</v>
      </c>
      <c r="C72" t="s">
        <v>19</v>
      </c>
      <c r="D72" t="s">
        <v>45</v>
      </c>
      <c r="E72" t="s">
        <v>23</v>
      </c>
      <c r="F72" t="s">
        <v>47</v>
      </c>
      <c r="G72">
        <v>4</v>
      </c>
      <c r="H72">
        <v>55000</v>
      </c>
      <c r="I72">
        <v>0</v>
      </c>
      <c r="J72">
        <v>220000</v>
      </c>
      <c r="K72">
        <v>140000</v>
      </c>
      <c r="L72">
        <v>80000</v>
      </c>
      <c r="M72">
        <v>21</v>
      </c>
      <c r="N72">
        <v>2</v>
      </c>
      <c r="O72">
        <v>2024</v>
      </c>
      <c r="P72">
        <v>0.36363636363636365</v>
      </c>
      <c r="Q72" t="s">
        <v>4</v>
      </c>
    </row>
    <row r="73" spans="1:17" x14ac:dyDescent="0.25">
      <c r="A73" t="s">
        <v>127</v>
      </c>
      <c r="B73" s="9">
        <v>45330</v>
      </c>
      <c r="C73" t="s">
        <v>19</v>
      </c>
      <c r="D73" t="s">
        <v>54</v>
      </c>
      <c r="E73" t="s">
        <v>24</v>
      </c>
      <c r="F73" t="s">
        <v>47</v>
      </c>
      <c r="G73">
        <v>13</v>
      </c>
      <c r="H73">
        <v>18000</v>
      </c>
      <c r="I73">
        <v>0</v>
      </c>
      <c r="J73">
        <v>234000</v>
      </c>
      <c r="K73">
        <v>143000</v>
      </c>
      <c r="L73">
        <v>91000</v>
      </c>
      <c r="M73">
        <v>8</v>
      </c>
      <c r="N73">
        <v>2</v>
      </c>
      <c r="O73">
        <v>2024</v>
      </c>
      <c r="P73">
        <v>0.3888888888888889</v>
      </c>
      <c r="Q73" t="s">
        <v>4</v>
      </c>
    </row>
    <row r="74" spans="1:17" x14ac:dyDescent="0.25">
      <c r="A74" t="s">
        <v>128</v>
      </c>
      <c r="B74" s="9">
        <v>45376</v>
      </c>
      <c r="C74" t="s">
        <v>19</v>
      </c>
      <c r="D74" t="s">
        <v>60</v>
      </c>
      <c r="E74" t="s">
        <v>58</v>
      </c>
      <c r="F74" t="s">
        <v>52</v>
      </c>
      <c r="G74">
        <v>9</v>
      </c>
      <c r="H74">
        <v>3500</v>
      </c>
      <c r="I74">
        <v>5</v>
      </c>
      <c r="J74">
        <v>29925</v>
      </c>
      <c r="K74">
        <v>18000</v>
      </c>
      <c r="L74">
        <v>11925</v>
      </c>
      <c r="M74">
        <v>25</v>
      </c>
      <c r="N74">
        <v>3</v>
      </c>
      <c r="O74">
        <v>2024</v>
      </c>
      <c r="P74">
        <v>0.39849624060150374</v>
      </c>
      <c r="Q74" t="s">
        <v>5</v>
      </c>
    </row>
    <row r="75" spans="1:17" x14ac:dyDescent="0.25">
      <c r="A75" t="s">
        <v>129</v>
      </c>
      <c r="B75" s="9">
        <v>45383</v>
      </c>
      <c r="C75" t="s">
        <v>19</v>
      </c>
      <c r="D75" t="s">
        <v>49</v>
      </c>
      <c r="E75" t="s">
        <v>23</v>
      </c>
      <c r="F75" t="s">
        <v>47</v>
      </c>
      <c r="G75">
        <v>2</v>
      </c>
      <c r="H75">
        <v>55000</v>
      </c>
      <c r="I75">
        <v>0</v>
      </c>
      <c r="J75">
        <v>110000</v>
      </c>
      <c r="K75">
        <v>70000</v>
      </c>
      <c r="L75">
        <v>40000</v>
      </c>
      <c r="M75">
        <v>1</v>
      </c>
      <c r="N75">
        <v>4</v>
      </c>
      <c r="O75">
        <v>2024</v>
      </c>
      <c r="P75">
        <v>0.36363636363636365</v>
      </c>
      <c r="Q75" t="s">
        <v>6</v>
      </c>
    </row>
    <row r="76" spans="1:17" x14ac:dyDescent="0.25">
      <c r="A76" t="s">
        <v>130</v>
      </c>
      <c r="B76" s="9">
        <v>45427</v>
      </c>
      <c r="C76" t="s">
        <v>19</v>
      </c>
      <c r="D76" t="s">
        <v>51</v>
      </c>
      <c r="E76" t="s">
        <v>58</v>
      </c>
      <c r="F76" t="s">
        <v>52</v>
      </c>
      <c r="G76">
        <v>13</v>
      </c>
      <c r="H76">
        <v>3500</v>
      </c>
      <c r="I76">
        <v>20</v>
      </c>
      <c r="J76">
        <v>36400</v>
      </c>
      <c r="K76">
        <v>26000</v>
      </c>
      <c r="L76">
        <v>10400</v>
      </c>
      <c r="M76">
        <v>15</v>
      </c>
      <c r="N76">
        <v>5</v>
      </c>
      <c r="O76">
        <v>2024</v>
      </c>
      <c r="P76">
        <v>0.2857142857142857</v>
      </c>
      <c r="Q76" t="s">
        <v>7</v>
      </c>
    </row>
    <row r="77" spans="1:17" x14ac:dyDescent="0.25">
      <c r="A77" t="s">
        <v>131</v>
      </c>
      <c r="B77" s="9">
        <v>45414</v>
      </c>
      <c r="C77" t="s">
        <v>19</v>
      </c>
      <c r="D77" t="s">
        <v>56</v>
      </c>
      <c r="E77" t="s">
        <v>23</v>
      </c>
      <c r="F77" t="s">
        <v>47</v>
      </c>
      <c r="G77">
        <v>7</v>
      </c>
      <c r="H77">
        <v>55000</v>
      </c>
      <c r="I77">
        <v>10</v>
      </c>
      <c r="J77">
        <v>346500</v>
      </c>
      <c r="K77">
        <v>245000</v>
      </c>
      <c r="L77">
        <v>101500</v>
      </c>
      <c r="M77">
        <v>2</v>
      </c>
      <c r="N77">
        <v>5</v>
      </c>
      <c r="O77">
        <v>2024</v>
      </c>
      <c r="P77">
        <v>0.29292929292929293</v>
      </c>
      <c r="Q77" t="s">
        <v>7</v>
      </c>
    </row>
    <row r="78" spans="1:17" x14ac:dyDescent="0.25">
      <c r="A78" t="s">
        <v>132</v>
      </c>
      <c r="B78" s="9">
        <v>45428</v>
      </c>
      <c r="C78" t="s">
        <v>19</v>
      </c>
      <c r="D78" t="s">
        <v>63</v>
      </c>
      <c r="E78" t="s">
        <v>66</v>
      </c>
      <c r="F78" t="s">
        <v>47</v>
      </c>
      <c r="G78">
        <v>2</v>
      </c>
      <c r="H78">
        <v>2500</v>
      </c>
      <c r="I78">
        <v>5</v>
      </c>
      <c r="J78">
        <v>4750</v>
      </c>
      <c r="K78">
        <v>2800</v>
      </c>
      <c r="L78">
        <v>1950</v>
      </c>
      <c r="M78">
        <v>16</v>
      </c>
      <c r="N78">
        <v>5</v>
      </c>
      <c r="O78">
        <v>2024</v>
      </c>
      <c r="P78">
        <v>0.41052631578947368</v>
      </c>
      <c r="Q78" t="s">
        <v>7</v>
      </c>
    </row>
    <row r="79" spans="1:17" x14ac:dyDescent="0.25">
      <c r="A79" t="s">
        <v>133</v>
      </c>
      <c r="B79" s="9">
        <v>45452</v>
      </c>
      <c r="C79" t="s">
        <v>19</v>
      </c>
      <c r="D79" t="s">
        <v>45</v>
      </c>
      <c r="E79" t="s">
        <v>24</v>
      </c>
      <c r="F79" t="s">
        <v>47</v>
      </c>
      <c r="G79">
        <v>15</v>
      </c>
      <c r="H79">
        <v>18000</v>
      </c>
      <c r="I79">
        <v>5</v>
      </c>
      <c r="J79">
        <v>256500</v>
      </c>
      <c r="K79">
        <v>165000</v>
      </c>
      <c r="L79">
        <v>91500</v>
      </c>
      <c r="M79">
        <v>9</v>
      </c>
      <c r="N79">
        <v>6</v>
      </c>
      <c r="O79">
        <v>2024</v>
      </c>
      <c r="P79">
        <v>0.35672514619883039</v>
      </c>
      <c r="Q79" t="s">
        <v>8</v>
      </c>
    </row>
    <row r="80" spans="1:17" x14ac:dyDescent="0.25">
      <c r="A80" t="s">
        <v>134</v>
      </c>
      <c r="B80" s="9">
        <v>45498</v>
      </c>
      <c r="C80" t="s">
        <v>19</v>
      </c>
      <c r="D80" t="s">
        <v>73</v>
      </c>
      <c r="E80" t="s">
        <v>75</v>
      </c>
      <c r="F80" t="s">
        <v>47</v>
      </c>
      <c r="G80">
        <v>12</v>
      </c>
      <c r="H80">
        <v>25000</v>
      </c>
      <c r="I80">
        <v>15</v>
      </c>
      <c r="J80">
        <v>255000</v>
      </c>
      <c r="K80">
        <v>192000</v>
      </c>
      <c r="L80">
        <v>63000</v>
      </c>
      <c r="M80">
        <v>25</v>
      </c>
      <c r="N80">
        <v>7</v>
      </c>
      <c r="O80">
        <v>2024</v>
      </c>
      <c r="P80">
        <v>0.24705882352941178</v>
      </c>
      <c r="Q80" t="s">
        <v>9</v>
      </c>
    </row>
    <row r="81" spans="1:17" x14ac:dyDescent="0.25">
      <c r="A81" t="s">
        <v>135</v>
      </c>
      <c r="B81" s="9">
        <v>45487</v>
      </c>
      <c r="C81" t="s">
        <v>19</v>
      </c>
      <c r="D81" t="s">
        <v>63</v>
      </c>
      <c r="E81" t="s">
        <v>26</v>
      </c>
      <c r="F81" t="s">
        <v>52</v>
      </c>
      <c r="G81">
        <v>6</v>
      </c>
      <c r="H81">
        <v>28000</v>
      </c>
      <c r="I81">
        <v>0</v>
      </c>
      <c r="J81">
        <v>168000</v>
      </c>
      <c r="K81">
        <v>108000</v>
      </c>
      <c r="L81">
        <v>60000</v>
      </c>
      <c r="M81">
        <v>14</v>
      </c>
      <c r="N81">
        <v>7</v>
      </c>
      <c r="O81">
        <v>2024</v>
      </c>
      <c r="P81">
        <v>0.35714285714285715</v>
      </c>
      <c r="Q81" t="s">
        <v>9</v>
      </c>
    </row>
    <row r="82" spans="1:17" x14ac:dyDescent="0.25">
      <c r="A82" t="s">
        <v>136</v>
      </c>
      <c r="B82" s="9">
        <v>45485</v>
      </c>
      <c r="C82" t="s">
        <v>19</v>
      </c>
      <c r="D82" t="s">
        <v>49</v>
      </c>
      <c r="E82" t="s">
        <v>24</v>
      </c>
      <c r="F82" t="s">
        <v>47</v>
      </c>
      <c r="G82">
        <v>6</v>
      </c>
      <c r="H82">
        <v>18000</v>
      </c>
      <c r="I82">
        <v>20</v>
      </c>
      <c r="J82">
        <v>86400</v>
      </c>
      <c r="K82">
        <v>66000</v>
      </c>
      <c r="L82">
        <v>20400</v>
      </c>
      <c r="M82">
        <v>12</v>
      </c>
      <c r="N82">
        <v>7</v>
      </c>
      <c r="O82">
        <v>2024</v>
      </c>
      <c r="P82">
        <v>0.2361111111111111</v>
      </c>
      <c r="Q82" t="s">
        <v>9</v>
      </c>
    </row>
    <row r="83" spans="1:17" x14ac:dyDescent="0.25">
      <c r="A83" t="s">
        <v>137</v>
      </c>
      <c r="B83" s="9">
        <v>45499</v>
      </c>
      <c r="C83" t="s">
        <v>19</v>
      </c>
      <c r="D83" t="s">
        <v>56</v>
      </c>
      <c r="E83" t="s">
        <v>23</v>
      </c>
      <c r="F83" t="s">
        <v>47</v>
      </c>
      <c r="G83">
        <v>3</v>
      </c>
      <c r="H83">
        <v>55000</v>
      </c>
      <c r="I83">
        <v>10</v>
      </c>
      <c r="J83">
        <v>148500</v>
      </c>
      <c r="K83">
        <v>105000</v>
      </c>
      <c r="L83">
        <v>43500</v>
      </c>
      <c r="M83">
        <v>26</v>
      </c>
      <c r="N83">
        <v>7</v>
      </c>
      <c r="O83">
        <v>2024</v>
      </c>
      <c r="P83">
        <v>0.29292929292929293</v>
      </c>
      <c r="Q83" t="s">
        <v>9</v>
      </c>
    </row>
    <row r="84" spans="1:17" x14ac:dyDescent="0.25">
      <c r="A84" t="s">
        <v>138</v>
      </c>
      <c r="B84" s="9">
        <v>45517</v>
      </c>
      <c r="C84" t="s">
        <v>19</v>
      </c>
      <c r="D84" t="s">
        <v>73</v>
      </c>
      <c r="E84" t="s">
        <v>23</v>
      </c>
      <c r="F84" t="s">
        <v>47</v>
      </c>
      <c r="G84">
        <v>12</v>
      </c>
      <c r="H84">
        <v>55000</v>
      </c>
      <c r="I84">
        <v>15</v>
      </c>
      <c r="J84">
        <v>561000</v>
      </c>
      <c r="K84">
        <v>420000</v>
      </c>
      <c r="L84">
        <v>141000</v>
      </c>
      <c r="M84">
        <v>13</v>
      </c>
      <c r="N84">
        <v>8</v>
      </c>
      <c r="O84">
        <v>2024</v>
      </c>
      <c r="P84">
        <v>0.25133689839572193</v>
      </c>
      <c r="Q84" t="s">
        <v>10</v>
      </c>
    </row>
    <row r="85" spans="1:17" x14ac:dyDescent="0.25">
      <c r="A85" t="s">
        <v>139</v>
      </c>
      <c r="B85" s="9">
        <v>45505</v>
      </c>
      <c r="C85" t="s">
        <v>19</v>
      </c>
      <c r="D85" t="s">
        <v>45</v>
      </c>
      <c r="E85" t="s">
        <v>25</v>
      </c>
      <c r="F85" t="s">
        <v>52</v>
      </c>
      <c r="G85">
        <v>2</v>
      </c>
      <c r="H85">
        <v>12000</v>
      </c>
      <c r="I85">
        <v>10</v>
      </c>
      <c r="J85">
        <v>21600</v>
      </c>
      <c r="K85">
        <v>15000</v>
      </c>
      <c r="L85">
        <v>6600</v>
      </c>
      <c r="M85">
        <v>1</v>
      </c>
      <c r="N85">
        <v>8</v>
      </c>
      <c r="O85">
        <v>2024</v>
      </c>
      <c r="P85">
        <v>0.30555555555555558</v>
      </c>
      <c r="Q85" t="s">
        <v>10</v>
      </c>
    </row>
    <row r="86" spans="1:17" x14ac:dyDescent="0.25">
      <c r="A86" t="s">
        <v>140</v>
      </c>
      <c r="B86" s="9">
        <v>45553</v>
      </c>
      <c r="C86" t="s">
        <v>19</v>
      </c>
      <c r="D86" t="s">
        <v>49</v>
      </c>
      <c r="E86" t="s">
        <v>25</v>
      </c>
      <c r="F86" t="s">
        <v>52</v>
      </c>
      <c r="G86">
        <v>11</v>
      </c>
      <c r="H86">
        <v>12000</v>
      </c>
      <c r="I86">
        <v>15</v>
      </c>
      <c r="J86">
        <v>112200</v>
      </c>
      <c r="K86">
        <v>82500</v>
      </c>
      <c r="L86">
        <v>29700</v>
      </c>
      <c r="M86">
        <v>18</v>
      </c>
      <c r="N86">
        <v>9</v>
      </c>
      <c r="O86">
        <v>2024</v>
      </c>
      <c r="P86">
        <v>0.26470588235294118</v>
      </c>
      <c r="Q86" t="s">
        <v>11</v>
      </c>
    </row>
    <row r="87" spans="1:17" x14ac:dyDescent="0.25">
      <c r="A87" t="s">
        <v>141</v>
      </c>
      <c r="B87" s="9">
        <v>45557</v>
      </c>
      <c r="C87" t="s">
        <v>19</v>
      </c>
      <c r="D87" t="s">
        <v>73</v>
      </c>
      <c r="E87" t="s">
        <v>25</v>
      </c>
      <c r="F87" t="s">
        <v>52</v>
      </c>
      <c r="G87">
        <v>9</v>
      </c>
      <c r="H87">
        <v>12000</v>
      </c>
      <c r="I87">
        <v>0</v>
      </c>
      <c r="J87">
        <v>108000</v>
      </c>
      <c r="K87">
        <v>67500</v>
      </c>
      <c r="L87">
        <v>40500</v>
      </c>
      <c r="M87">
        <v>22</v>
      </c>
      <c r="N87">
        <v>9</v>
      </c>
      <c r="O87">
        <v>2024</v>
      </c>
      <c r="P87">
        <v>0.375</v>
      </c>
      <c r="Q87" t="s">
        <v>11</v>
      </c>
    </row>
    <row r="88" spans="1:17" x14ac:dyDescent="0.25">
      <c r="A88" t="s">
        <v>142</v>
      </c>
      <c r="B88" s="9">
        <v>45543</v>
      </c>
      <c r="C88" t="s">
        <v>19</v>
      </c>
      <c r="D88" t="s">
        <v>60</v>
      </c>
      <c r="E88" t="s">
        <v>23</v>
      </c>
      <c r="F88" t="s">
        <v>47</v>
      </c>
      <c r="G88">
        <v>1</v>
      </c>
      <c r="H88">
        <v>55000</v>
      </c>
      <c r="I88">
        <v>5</v>
      </c>
      <c r="J88">
        <v>52250</v>
      </c>
      <c r="K88">
        <v>35000</v>
      </c>
      <c r="L88">
        <v>17250</v>
      </c>
      <c r="M88">
        <v>8</v>
      </c>
      <c r="N88">
        <v>9</v>
      </c>
      <c r="O88">
        <v>2024</v>
      </c>
      <c r="P88">
        <v>0.33014354066985646</v>
      </c>
      <c r="Q88" t="s">
        <v>11</v>
      </c>
    </row>
    <row r="89" spans="1:17" x14ac:dyDescent="0.25">
      <c r="A89" t="s">
        <v>143</v>
      </c>
      <c r="B89" s="9">
        <v>45580</v>
      </c>
      <c r="C89" t="s">
        <v>19</v>
      </c>
      <c r="D89" t="s">
        <v>54</v>
      </c>
      <c r="E89" t="s">
        <v>66</v>
      </c>
      <c r="F89" t="s">
        <v>47</v>
      </c>
      <c r="G89">
        <v>9</v>
      </c>
      <c r="H89">
        <v>2500</v>
      </c>
      <c r="I89">
        <v>20</v>
      </c>
      <c r="J89">
        <v>18000</v>
      </c>
      <c r="K89">
        <v>12600</v>
      </c>
      <c r="L89">
        <v>5400</v>
      </c>
      <c r="M89">
        <v>15</v>
      </c>
      <c r="N89">
        <v>10</v>
      </c>
      <c r="O89">
        <v>2024</v>
      </c>
      <c r="P89">
        <v>0.3</v>
      </c>
      <c r="Q89" t="s">
        <v>12</v>
      </c>
    </row>
    <row r="90" spans="1:17" x14ac:dyDescent="0.25">
      <c r="A90" t="s">
        <v>144</v>
      </c>
      <c r="B90" s="9">
        <v>45588</v>
      </c>
      <c r="C90" t="s">
        <v>19</v>
      </c>
      <c r="D90" t="s">
        <v>49</v>
      </c>
      <c r="E90" t="s">
        <v>24</v>
      </c>
      <c r="F90" t="s">
        <v>47</v>
      </c>
      <c r="G90">
        <v>7</v>
      </c>
      <c r="H90">
        <v>18000</v>
      </c>
      <c r="I90">
        <v>15</v>
      </c>
      <c r="J90">
        <v>107100</v>
      </c>
      <c r="K90">
        <v>77000</v>
      </c>
      <c r="L90">
        <v>30100</v>
      </c>
      <c r="M90">
        <v>23</v>
      </c>
      <c r="N90">
        <v>10</v>
      </c>
      <c r="O90">
        <v>2024</v>
      </c>
      <c r="P90">
        <v>0.28104575163398693</v>
      </c>
      <c r="Q90" t="s">
        <v>12</v>
      </c>
    </row>
    <row r="91" spans="1:17" x14ac:dyDescent="0.25">
      <c r="A91" t="s">
        <v>145</v>
      </c>
      <c r="B91" s="9">
        <v>45622</v>
      </c>
      <c r="C91" t="s">
        <v>19</v>
      </c>
      <c r="D91" t="s">
        <v>54</v>
      </c>
      <c r="E91" t="s">
        <v>22</v>
      </c>
      <c r="F91" t="s">
        <v>52</v>
      </c>
      <c r="G91">
        <v>5</v>
      </c>
      <c r="H91">
        <v>32000</v>
      </c>
      <c r="I91">
        <v>15</v>
      </c>
      <c r="J91">
        <v>136000</v>
      </c>
      <c r="K91">
        <v>100000</v>
      </c>
      <c r="L91">
        <v>36000</v>
      </c>
      <c r="M91">
        <v>26</v>
      </c>
      <c r="N91">
        <v>11</v>
      </c>
      <c r="O91">
        <v>2024</v>
      </c>
      <c r="P91">
        <v>0.26470588235294118</v>
      </c>
      <c r="Q91" t="s">
        <v>13</v>
      </c>
    </row>
    <row r="92" spans="1:17" x14ac:dyDescent="0.25">
      <c r="A92" t="s">
        <v>146</v>
      </c>
      <c r="B92" s="9">
        <v>45620</v>
      </c>
      <c r="C92" t="s">
        <v>19</v>
      </c>
      <c r="D92" t="s">
        <v>54</v>
      </c>
      <c r="E92" t="s">
        <v>75</v>
      </c>
      <c r="F92" t="s">
        <v>47</v>
      </c>
      <c r="G92">
        <v>10</v>
      </c>
      <c r="H92">
        <v>25000</v>
      </c>
      <c r="I92">
        <v>20</v>
      </c>
      <c r="J92">
        <v>200000</v>
      </c>
      <c r="K92">
        <v>160000</v>
      </c>
      <c r="L92">
        <v>40000</v>
      </c>
      <c r="M92">
        <v>24</v>
      </c>
      <c r="N92">
        <v>11</v>
      </c>
      <c r="O92">
        <v>2024</v>
      </c>
      <c r="P92">
        <v>0.2</v>
      </c>
      <c r="Q92" t="s">
        <v>13</v>
      </c>
    </row>
    <row r="93" spans="1:17" x14ac:dyDescent="0.25">
      <c r="A93" t="s">
        <v>147</v>
      </c>
      <c r="B93" s="9">
        <v>45607</v>
      </c>
      <c r="C93" t="s">
        <v>19</v>
      </c>
      <c r="D93" t="s">
        <v>54</v>
      </c>
      <c r="E93" t="s">
        <v>27</v>
      </c>
      <c r="F93" t="s">
        <v>47</v>
      </c>
      <c r="G93">
        <v>6</v>
      </c>
      <c r="H93">
        <v>40000</v>
      </c>
      <c r="I93">
        <v>15</v>
      </c>
      <c r="J93">
        <v>204000</v>
      </c>
      <c r="K93">
        <v>156000</v>
      </c>
      <c r="L93">
        <v>48000</v>
      </c>
      <c r="M93">
        <v>11</v>
      </c>
      <c r="N93">
        <v>11</v>
      </c>
      <c r="O93">
        <v>2024</v>
      </c>
      <c r="P93">
        <v>0.23529411764705882</v>
      </c>
      <c r="Q93" t="s">
        <v>13</v>
      </c>
    </row>
    <row r="94" spans="1:17" x14ac:dyDescent="0.25">
      <c r="A94" t="s">
        <v>148</v>
      </c>
      <c r="B94" s="9">
        <v>45646</v>
      </c>
      <c r="C94" t="s">
        <v>19</v>
      </c>
      <c r="D94" t="s">
        <v>49</v>
      </c>
      <c r="E94" t="s">
        <v>75</v>
      </c>
      <c r="F94" t="s">
        <v>47</v>
      </c>
      <c r="G94">
        <v>8</v>
      </c>
      <c r="H94">
        <v>25000</v>
      </c>
      <c r="I94">
        <v>0</v>
      </c>
      <c r="J94">
        <v>200000</v>
      </c>
      <c r="K94">
        <v>128000</v>
      </c>
      <c r="L94">
        <v>72000</v>
      </c>
      <c r="M94">
        <v>20</v>
      </c>
      <c r="N94">
        <v>12</v>
      </c>
      <c r="O94">
        <v>2024</v>
      </c>
      <c r="P94">
        <v>0.36</v>
      </c>
      <c r="Q94" t="s">
        <v>14</v>
      </c>
    </row>
    <row r="95" spans="1:17" x14ac:dyDescent="0.25">
      <c r="A95" t="s">
        <v>149</v>
      </c>
      <c r="B95" s="9">
        <v>45645</v>
      </c>
      <c r="C95" t="s">
        <v>19</v>
      </c>
      <c r="D95" t="s">
        <v>54</v>
      </c>
      <c r="E95" t="s">
        <v>26</v>
      </c>
      <c r="F95" t="s">
        <v>52</v>
      </c>
      <c r="G95">
        <v>13</v>
      </c>
      <c r="H95">
        <v>28000</v>
      </c>
      <c r="I95">
        <v>10</v>
      </c>
      <c r="J95">
        <v>327600</v>
      </c>
      <c r="K95">
        <v>234000</v>
      </c>
      <c r="L95">
        <v>93600</v>
      </c>
      <c r="M95">
        <v>19</v>
      </c>
      <c r="N95">
        <v>12</v>
      </c>
      <c r="O95">
        <v>2024</v>
      </c>
      <c r="P95">
        <v>0.2857142857142857</v>
      </c>
      <c r="Q95" t="s">
        <v>14</v>
      </c>
    </row>
    <row r="96" spans="1:17" x14ac:dyDescent="0.25">
      <c r="A96" t="s">
        <v>150</v>
      </c>
      <c r="B96" s="9">
        <v>45629</v>
      </c>
      <c r="C96" t="s">
        <v>19</v>
      </c>
      <c r="D96" t="s">
        <v>51</v>
      </c>
      <c r="E96" t="s">
        <v>26</v>
      </c>
      <c r="F96" t="s">
        <v>52</v>
      </c>
      <c r="G96">
        <v>14</v>
      </c>
      <c r="H96">
        <v>28000</v>
      </c>
      <c r="I96">
        <v>20</v>
      </c>
      <c r="J96">
        <v>313600</v>
      </c>
      <c r="K96">
        <v>252000</v>
      </c>
      <c r="L96">
        <v>61600</v>
      </c>
      <c r="M96">
        <v>3</v>
      </c>
      <c r="N96">
        <v>12</v>
      </c>
      <c r="O96">
        <v>2024</v>
      </c>
      <c r="P96">
        <v>0.19642857142857142</v>
      </c>
      <c r="Q96" t="s">
        <v>14</v>
      </c>
    </row>
    <row r="97" spans="1:17" x14ac:dyDescent="0.25">
      <c r="A97" t="s">
        <v>151</v>
      </c>
      <c r="B97" s="9">
        <v>45315</v>
      </c>
      <c r="C97" t="s">
        <v>20</v>
      </c>
      <c r="D97" t="s">
        <v>51</v>
      </c>
      <c r="E97" t="s">
        <v>25</v>
      </c>
      <c r="F97" t="s">
        <v>52</v>
      </c>
      <c r="G97">
        <v>2</v>
      </c>
      <c r="H97">
        <v>12000</v>
      </c>
      <c r="I97">
        <v>20</v>
      </c>
      <c r="J97">
        <v>19200</v>
      </c>
      <c r="K97">
        <v>15000</v>
      </c>
      <c r="L97">
        <v>4200</v>
      </c>
      <c r="M97">
        <v>24</v>
      </c>
      <c r="N97">
        <v>1</v>
      </c>
      <c r="O97">
        <v>2024</v>
      </c>
      <c r="P97">
        <v>0.21875</v>
      </c>
      <c r="Q97" t="s">
        <v>3</v>
      </c>
    </row>
    <row r="98" spans="1:17" x14ac:dyDescent="0.25">
      <c r="A98" t="s">
        <v>152</v>
      </c>
      <c r="B98" s="9">
        <v>45357</v>
      </c>
      <c r="C98" t="s">
        <v>20</v>
      </c>
      <c r="D98" t="s">
        <v>63</v>
      </c>
      <c r="E98" t="s">
        <v>26</v>
      </c>
      <c r="F98" t="s">
        <v>52</v>
      </c>
      <c r="G98">
        <v>9</v>
      </c>
      <c r="H98">
        <v>28000</v>
      </c>
      <c r="I98">
        <v>5</v>
      </c>
      <c r="J98">
        <v>239400</v>
      </c>
      <c r="K98">
        <v>162000</v>
      </c>
      <c r="L98">
        <v>77400</v>
      </c>
      <c r="M98">
        <v>6</v>
      </c>
      <c r="N98">
        <v>3</v>
      </c>
      <c r="O98">
        <v>2024</v>
      </c>
      <c r="P98">
        <v>0.32330827067669171</v>
      </c>
      <c r="Q98" t="s">
        <v>5</v>
      </c>
    </row>
    <row r="99" spans="1:17" x14ac:dyDescent="0.25">
      <c r="A99" t="s">
        <v>153</v>
      </c>
      <c r="B99" s="9">
        <v>45391</v>
      </c>
      <c r="C99" t="s">
        <v>20</v>
      </c>
      <c r="D99" t="s">
        <v>49</v>
      </c>
      <c r="E99" t="s">
        <v>66</v>
      </c>
      <c r="F99" t="s">
        <v>47</v>
      </c>
      <c r="G99">
        <v>13</v>
      </c>
      <c r="H99">
        <v>2500</v>
      </c>
      <c r="I99">
        <v>5</v>
      </c>
      <c r="J99">
        <v>30875</v>
      </c>
      <c r="K99">
        <v>18200</v>
      </c>
      <c r="L99">
        <v>12675</v>
      </c>
      <c r="M99">
        <v>9</v>
      </c>
      <c r="N99">
        <v>4</v>
      </c>
      <c r="O99">
        <v>2024</v>
      </c>
      <c r="P99">
        <v>0.41052631578947368</v>
      </c>
      <c r="Q99" t="s">
        <v>6</v>
      </c>
    </row>
    <row r="100" spans="1:17" x14ac:dyDescent="0.25">
      <c r="A100" t="s">
        <v>154</v>
      </c>
      <c r="B100" s="9">
        <v>45406</v>
      </c>
      <c r="C100" t="s">
        <v>20</v>
      </c>
      <c r="D100" t="s">
        <v>49</v>
      </c>
      <c r="E100" t="s">
        <v>58</v>
      </c>
      <c r="F100" t="s">
        <v>52</v>
      </c>
      <c r="G100">
        <v>13</v>
      </c>
      <c r="H100">
        <v>3500</v>
      </c>
      <c r="I100">
        <v>15</v>
      </c>
      <c r="J100">
        <v>38675</v>
      </c>
      <c r="K100">
        <v>26000</v>
      </c>
      <c r="L100">
        <v>12675</v>
      </c>
      <c r="M100">
        <v>24</v>
      </c>
      <c r="N100">
        <v>4</v>
      </c>
      <c r="O100">
        <v>2024</v>
      </c>
      <c r="P100">
        <v>0.32773109243697479</v>
      </c>
      <c r="Q100" t="s">
        <v>6</v>
      </c>
    </row>
    <row r="101" spans="1:17" x14ac:dyDescent="0.25">
      <c r="A101" t="s">
        <v>155</v>
      </c>
      <c r="B101" s="9">
        <v>45396</v>
      </c>
      <c r="C101" t="s">
        <v>20</v>
      </c>
      <c r="D101" t="s">
        <v>63</v>
      </c>
      <c r="E101" t="s">
        <v>24</v>
      </c>
      <c r="F101" t="s">
        <v>47</v>
      </c>
      <c r="G101">
        <v>1</v>
      </c>
      <c r="H101">
        <v>18000</v>
      </c>
      <c r="I101">
        <v>15</v>
      </c>
      <c r="J101">
        <v>15300</v>
      </c>
      <c r="K101">
        <v>11000</v>
      </c>
      <c r="L101">
        <v>4300</v>
      </c>
      <c r="M101">
        <v>14</v>
      </c>
      <c r="N101">
        <v>4</v>
      </c>
      <c r="O101">
        <v>2024</v>
      </c>
      <c r="P101">
        <v>0.28104575163398693</v>
      </c>
      <c r="Q101" t="s">
        <v>6</v>
      </c>
    </row>
    <row r="102" spans="1:17" x14ac:dyDescent="0.25">
      <c r="A102" t="s">
        <v>156</v>
      </c>
      <c r="B102" s="9">
        <v>45430</v>
      </c>
      <c r="C102" t="s">
        <v>20</v>
      </c>
      <c r="D102" t="s">
        <v>60</v>
      </c>
      <c r="E102" t="s">
        <v>25</v>
      </c>
      <c r="F102" t="s">
        <v>52</v>
      </c>
      <c r="G102">
        <v>3</v>
      </c>
      <c r="H102">
        <v>12000</v>
      </c>
      <c r="I102">
        <v>10</v>
      </c>
      <c r="J102">
        <v>32400</v>
      </c>
      <c r="K102">
        <v>22500</v>
      </c>
      <c r="L102">
        <v>9900</v>
      </c>
      <c r="M102">
        <v>18</v>
      </c>
      <c r="N102">
        <v>5</v>
      </c>
      <c r="O102">
        <v>2024</v>
      </c>
      <c r="P102">
        <v>0.30555555555555558</v>
      </c>
      <c r="Q102" t="s">
        <v>7</v>
      </c>
    </row>
    <row r="103" spans="1:17" x14ac:dyDescent="0.25">
      <c r="A103" t="s">
        <v>157</v>
      </c>
      <c r="B103" s="9">
        <v>45418</v>
      </c>
      <c r="C103" t="s">
        <v>20</v>
      </c>
      <c r="D103" t="s">
        <v>54</v>
      </c>
      <c r="E103" t="s">
        <v>58</v>
      </c>
      <c r="F103" t="s">
        <v>52</v>
      </c>
      <c r="G103">
        <v>4</v>
      </c>
      <c r="H103">
        <v>3500</v>
      </c>
      <c r="I103">
        <v>15</v>
      </c>
      <c r="J103">
        <v>11900</v>
      </c>
      <c r="K103">
        <v>8000</v>
      </c>
      <c r="L103">
        <v>3900</v>
      </c>
      <c r="M103">
        <v>6</v>
      </c>
      <c r="N103">
        <v>5</v>
      </c>
      <c r="O103">
        <v>2024</v>
      </c>
      <c r="P103">
        <v>0.32773109243697479</v>
      </c>
      <c r="Q103" t="s">
        <v>7</v>
      </c>
    </row>
    <row r="104" spans="1:17" x14ac:dyDescent="0.25">
      <c r="A104" t="s">
        <v>158</v>
      </c>
      <c r="B104" s="9">
        <v>45438</v>
      </c>
      <c r="C104" t="s">
        <v>20</v>
      </c>
      <c r="D104" t="s">
        <v>73</v>
      </c>
      <c r="E104" t="s">
        <v>25</v>
      </c>
      <c r="F104" t="s">
        <v>52</v>
      </c>
      <c r="G104">
        <v>12</v>
      </c>
      <c r="H104">
        <v>12000</v>
      </c>
      <c r="I104">
        <v>20</v>
      </c>
      <c r="J104">
        <v>115200</v>
      </c>
      <c r="K104">
        <v>90000</v>
      </c>
      <c r="L104">
        <v>25200</v>
      </c>
      <c r="M104">
        <v>26</v>
      </c>
      <c r="N104">
        <v>5</v>
      </c>
      <c r="O104">
        <v>2024</v>
      </c>
      <c r="P104">
        <v>0.21875</v>
      </c>
      <c r="Q104" t="s">
        <v>7</v>
      </c>
    </row>
    <row r="105" spans="1:17" x14ac:dyDescent="0.25">
      <c r="A105" t="s">
        <v>159</v>
      </c>
      <c r="B105" s="9">
        <v>45434</v>
      </c>
      <c r="C105" t="s">
        <v>20</v>
      </c>
      <c r="D105" t="s">
        <v>60</v>
      </c>
      <c r="E105" t="s">
        <v>22</v>
      </c>
      <c r="F105" t="s">
        <v>52</v>
      </c>
      <c r="G105">
        <v>5</v>
      </c>
      <c r="H105">
        <v>32000</v>
      </c>
      <c r="I105">
        <v>5</v>
      </c>
      <c r="J105">
        <v>152000</v>
      </c>
      <c r="K105">
        <v>100000</v>
      </c>
      <c r="L105">
        <v>52000</v>
      </c>
      <c r="M105">
        <v>22</v>
      </c>
      <c r="N105">
        <v>5</v>
      </c>
      <c r="O105">
        <v>2024</v>
      </c>
      <c r="P105">
        <v>0.34210526315789475</v>
      </c>
      <c r="Q105" t="s">
        <v>7</v>
      </c>
    </row>
    <row r="106" spans="1:17" x14ac:dyDescent="0.25">
      <c r="A106" t="s">
        <v>160</v>
      </c>
      <c r="B106" s="9">
        <v>45476</v>
      </c>
      <c r="C106" t="s">
        <v>20</v>
      </c>
      <c r="D106" t="s">
        <v>73</v>
      </c>
      <c r="E106" t="s">
        <v>23</v>
      </c>
      <c r="F106" t="s">
        <v>47</v>
      </c>
      <c r="G106">
        <v>1</v>
      </c>
      <c r="H106">
        <v>55000</v>
      </c>
      <c r="I106">
        <v>10</v>
      </c>
      <c r="J106">
        <v>49500</v>
      </c>
      <c r="K106">
        <v>35000</v>
      </c>
      <c r="L106">
        <v>14500</v>
      </c>
      <c r="M106">
        <v>3</v>
      </c>
      <c r="N106">
        <v>7</v>
      </c>
      <c r="O106">
        <v>2024</v>
      </c>
      <c r="P106">
        <v>0.29292929292929293</v>
      </c>
      <c r="Q106" t="s">
        <v>9</v>
      </c>
    </row>
    <row r="107" spans="1:17" x14ac:dyDescent="0.25">
      <c r="A107" t="s">
        <v>161</v>
      </c>
      <c r="B107" s="9">
        <v>45491</v>
      </c>
      <c r="C107" t="s">
        <v>20</v>
      </c>
      <c r="D107" t="s">
        <v>63</v>
      </c>
      <c r="E107" t="s">
        <v>24</v>
      </c>
      <c r="F107" t="s">
        <v>47</v>
      </c>
      <c r="G107">
        <v>2</v>
      </c>
      <c r="H107">
        <v>18000</v>
      </c>
      <c r="I107">
        <v>5</v>
      </c>
      <c r="J107">
        <v>34200</v>
      </c>
      <c r="K107">
        <v>22000</v>
      </c>
      <c r="L107">
        <v>12200</v>
      </c>
      <c r="M107">
        <v>18</v>
      </c>
      <c r="N107">
        <v>7</v>
      </c>
      <c r="O107">
        <v>2024</v>
      </c>
      <c r="P107">
        <v>0.35672514619883039</v>
      </c>
      <c r="Q107" t="s">
        <v>9</v>
      </c>
    </row>
    <row r="108" spans="1:17" x14ac:dyDescent="0.25">
      <c r="A108" t="s">
        <v>162</v>
      </c>
      <c r="B108" s="9">
        <v>45501</v>
      </c>
      <c r="C108" t="s">
        <v>20</v>
      </c>
      <c r="D108" t="s">
        <v>60</v>
      </c>
      <c r="E108" t="s">
        <v>22</v>
      </c>
      <c r="F108" t="s">
        <v>52</v>
      </c>
      <c r="G108">
        <v>14</v>
      </c>
      <c r="H108">
        <v>32000</v>
      </c>
      <c r="I108">
        <v>5</v>
      </c>
      <c r="J108">
        <v>425600</v>
      </c>
      <c r="K108">
        <v>280000</v>
      </c>
      <c r="L108">
        <v>145600</v>
      </c>
      <c r="M108">
        <v>28</v>
      </c>
      <c r="N108">
        <v>7</v>
      </c>
      <c r="O108">
        <v>2024</v>
      </c>
      <c r="P108">
        <v>0.34210526315789475</v>
      </c>
      <c r="Q108" t="s">
        <v>9</v>
      </c>
    </row>
    <row r="109" spans="1:17" x14ac:dyDescent="0.25">
      <c r="A109" t="s">
        <v>163</v>
      </c>
      <c r="B109" s="9">
        <v>45499</v>
      </c>
      <c r="C109" t="s">
        <v>20</v>
      </c>
      <c r="D109" t="s">
        <v>49</v>
      </c>
      <c r="E109" t="s">
        <v>26</v>
      </c>
      <c r="F109" t="s">
        <v>52</v>
      </c>
      <c r="G109">
        <v>3</v>
      </c>
      <c r="H109">
        <v>28000</v>
      </c>
      <c r="I109">
        <v>0</v>
      </c>
      <c r="J109">
        <v>84000</v>
      </c>
      <c r="K109">
        <v>54000</v>
      </c>
      <c r="L109">
        <v>30000</v>
      </c>
      <c r="M109">
        <v>26</v>
      </c>
      <c r="N109">
        <v>7</v>
      </c>
      <c r="O109">
        <v>2024</v>
      </c>
      <c r="P109">
        <v>0.35714285714285715</v>
      </c>
      <c r="Q109" t="s">
        <v>9</v>
      </c>
    </row>
    <row r="110" spans="1:17" x14ac:dyDescent="0.25">
      <c r="A110" t="s">
        <v>164</v>
      </c>
      <c r="B110" s="9">
        <v>45516</v>
      </c>
      <c r="C110" t="s">
        <v>20</v>
      </c>
      <c r="D110" t="s">
        <v>45</v>
      </c>
      <c r="E110" t="s">
        <v>23</v>
      </c>
      <c r="F110" t="s">
        <v>47</v>
      </c>
      <c r="G110">
        <v>2</v>
      </c>
      <c r="H110">
        <v>55000</v>
      </c>
      <c r="I110">
        <v>10</v>
      </c>
      <c r="J110">
        <v>99000</v>
      </c>
      <c r="K110">
        <v>70000</v>
      </c>
      <c r="L110">
        <v>29000</v>
      </c>
      <c r="M110">
        <v>12</v>
      </c>
      <c r="N110">
        <v>8</v>
      </c>
      <c r="O110">
        <v>2024</v>
      </c>
      <c r="P110">
        <v>0.29292929292929293</v>
      </c>
      <c r="Q110" t="s">
        <v>10</v>
      </c>
    </row>
    <row r="111" spans="1:17" x14ac:dyDescent="0.25">
      <c r="A111" t="s">
        <v>165</v>
      </c>
      <c r="B111" s="9">
        <v>45526</v>
      </c>
      <c r="C111" t="s">
        <v>20</v>
      </c>
      <c r="D111" t="s">
        <v>45</v>
      </c>
      <c r="E111" t="s">
        <v>25</v>
      </c>
      <c r="F111" t="s">
        <v>52</v>
      </c>
      <c r="G111">
        <v>12</v>
      </c>
      <c r="H111">
        <v>12000</v>
      </c>
      <c r="I111">
        <v>10</v>
      </c>
      <c r="J111">
        <v>129600</v>
      </c>
      <c r="K111">
        <v>90000</v>
      </c>
      <c r="L111">
        <v>39600</v>
      </c>
      <c r="M111">
        <v>22</v>
      </c>
      <c r="N111">
        <v>8</v>
      </c>
      <c r="O111">
        <v>2024</v>
      </c>
      <c r="P111">
        <v>0.30555555555555558</v>
      </c>
      <c r="Q111" t="s">
        <v>10</v>
      </c>
    </row>
    <row r="112" spans="1:17" x14ac:dyDescent="0.25">
      <c r="A112" t="s">
        <v>166</v>
      </c>
      <c r="B112" s="9">
        <v>45552</v>
      </c>
      <c r="C112" t="s">
        <v>20</v>
      </c>
      <c r="D112" t="s">
        <v>60</v>
      </c>
      <c r="E112" t="s">
        <v>24</v>
      </c>
      <c r="F112" t="s">
        <v>47</v>
      </c>
      <c r="G112">
        <v>5</v>
      </c>
      <c r="H112">
        <v>18000</v>
      </c>
      <c r="I112">
        <v>20</v>
      </c>
      <c r="J112">
        <v>72000</v>
      </c>
      <c r="K112">
        <v>55000</v>
      </c>
      <c r="L112">
        <v>17000</v>
      </c>
      <c r="M112">
        <v>17</v>
      </c>
      <c r="N112">
        <v>9</v>
      </c>
      <c r="O112">
        <v>2024</v>
      </c>
      <c r="P112">
        <v>0.2361111111111111</v>
      </c>
      <c r="Q112" t="s">
        <v>11</v>
      </c>
    </row>
    <row r="113" spans="1:17" x14ac:dyDescent="0.25">
      <c r="A113" t="s">
        <v>167</v>
      </c>
      <c r="B113" s="9">
        <v>45542</v>
      </c>
      <c r="C113" t="s">
        <v>20</v>
      </c>
      <c r="D113" t="s">
        <v>54</v>
      </c>
      <c r="E113" t="s">
        <v>25</v>
      </c>
      <c r="F113" t="s">
        <v>52</v>
      </c>
      <c r="G113">
        <v>4</v>
      </c>
      <c r="H113">
        <v>12000</v>
      </c>
      <c r="I113">
        <v>5</v>
      </c>
      <c r="J113">
        <v>45600</v>
      </c>
      <c r="K113">
        <v>30000</v>
      </c>
      <c r="L113">
        <v>15600</v>
      </c>
      <c r="M113">
        <v>7</v>
      </c>
      <c r="N113">
        <v>9</v>
      </c>
      <c r="O113">
        <v>2024</v>
      </c>
      <c r="P113">
        <v>0.34210526315789475</v>
      </c>
      <c r="Q113" t="s">
        <v>11</v>
      </c>
    </row>
    <row r="114" spans="1:17" x14ac:dyDescent="0.25">
      <c r="A114" t="s">
        <v>168</v>
      </c>
      <c r="B114" s="9">
        <v>45591</v>
      </c>
      <c r="C114" t="s">
        <v>20</v>
      </c>
      <c r="D114" t="s">
        <v>63</v>
      </c>
      <c r="E114" t="s">
        <v>66</v>
      </c>
      <c r="F114" t="s">
        <v>47</v>
      </c>
      <c r="G114">
        <v>4</v>
      </c>
      <c r="H114">
        <v>2500</v>
      </c>
      <c r="I114">
        <v>0</v>
      </c>
      <c r="J114">
        <v>10000</v>
      </c>
      <c r="K114">
        <v>5600</v>
      </c>
      <c r="L114">
        <v>4400</v>
      </c>
      <c r="M114">
        <v>26</v>
      </c>
      <c r="N114">
        <v>10</v>
      </c>
      <c r="O114">
        <v>2024</v>
      </c>
      <c r="P114">
        <v>0.44</v>
      </c>
      <c r="Q114" t="s">
        <v>12</v>
      </c>
    </row>
    <row r="115" spans="1:17" x14ac:dyDescent="0.25">
      <c r="A115" t="s">
        <v>169</v>
      </c>
      <c r="B115" s="9">
        <v>45576</v>
      </c>
      <c r="C115" t="s">
        <v>20</v>
      </c>
      <c r="D115" t="s">
        <v>56</v>
      </c>
      <c r="E115" t="s">
        <v>66</v>
      </c>
      <c r="F115" t="s">
        <v>47</v>
      </c>
      <c r="G115">
        <v>8</v>
      </c>
      <c r="H115">
        <v>2500</v>
      </c>
      <c r="I115">
        <v>5</v>
      </c>
      <c r="J115">
        <v>19000</v>
      </c>
      <c r="K115">
        <v>11200</v>
      </c>
      <c r="L115">
        <v>7800</v>
      </c>
      <c r="M115">
        <v>11</v>
      </c>
      <c r="N115">
        <v>10</v>
      </c>
      <c r="O115">
        <v>2024</v>
      </c>
      <c r="P115">
        <v>0.41052631578947368</v>
      </c>
      <c r="Q115" t="s">
        <v>12</v>
      </c>
    </row>
    <row r="116" spans="1:17" x14ac:dyDescent="0.25">
      <c r="A116" t="s">
        <v>170</v>
      </c>
      <c r="B116" s="9">
        <v>45589</v>
      </c>
      <c r="C116" t="s">
        <v>20</v>
      </c>
      <c r="D116" t="s">
        <v>54</v>
      </c>
      <c r="E116" t="s">
        <v>26</v>
      </c>
      <c r="F116" t="s">
        <v>52</v>
      </c>
      <c r="G116">
        <v>13</v>
      </c>
      <c r="H116">
        <v>28000</v>
      </c>
      <c r="I116">
        <v>5</v>
      </c>
      <c r="J116">
        <v>345800</v>
      </c>
      <c r="K116">
        <v>234000</v>
      </c>
      <c r="L116">
        <v>111800</v>
      </c>
      <c r="M116">
        <v>24</v>
      </c>
      <c r="N116">
        <v>10</v>
      </c>
      <c r="O116">
        <v>2024</v>
      </c>
      <c r="P116">
        <v>0.32330827067669171</v>
      </c>
      <c r="Q116" t="s">
        <v>12</v>
      </c>
    </row>
    <row r="117" spans="1:17" x14ac:dyDescent="0.25">
      <c r="A117" t="s">
        <v>171</v>
      </c>
      <c r="B117" s="9">
        <v>45576</v>
      </c>
      <c r="C117" t="s">
        <v>20</v>
      </c>
      <c r="D117" t="s">
        <v>56</v>
      </c>
      <c r="E117" t="s">
        <v>23</v>
      </c>
      <c r="F117" t="s">
        <v>47</v>
      </c>
      <c r="G117">
        <v>4</v>
      </c>
      <c r="H117">
        <v>55000</v>
      </c>
      <c r="I117">
        <v>15</v>
      </c>
      <c r="J117">
        <v>187000</v>
      </c>
      <c r="K117">
        <v>140000</v>
      </c>
      <c r="L117">
        <v>47000</v>
      </c>
      <c r="M117">
        <v>11</v>
      </c>
      <c r="N117">
        <v>10</v>
      </c>
      <c r="O117">
        <v>2024</v>
      </c>
      <c r="P117">
        <v>0.25133689839572193</v>
      </c>
      <c r="Q117" t="s">
        <v>12</v>
      </c>
    </row>
    <row r="118" spans="1:17" x14ac:dyDescent="0.25">
      <c r="A118" t="s">
        <v>172</v>
      </c>
      <c r="B118" s="9">
        <v>45606</v>
      </c>
      <c r="C118" t="s">
        <v>20</v>
      </c>
      <c r="D118" t="s">
        <v>56</v>
      </c>
      <c r="E118" t="s">
        <v>66</v>
      </c>
      <c r="F118" t="s">
        <v>47</v>
      </c>
      <c r="G118">
        <v>12</v>
      </c>
      <c r="H118">
        <v>2500</v>
      </c>
      <c r="I118">
        <v>20</v>
      </c>
      <c r="J118">
        <v>24000</v>
      </c>
      <c r="K118">
        <v>16800</v>
      </c>
      <c r="L118">
        <v>7200</v>
      </c>
      <c r="M118">
        <v>10</v>
      </c>
      <c r="N118">
        <v>11</v>
      </c>
      <c r="O118">
        <v>2024</v>
      </c>
      <c r="P118">
        <v>0.3</v>
      </c>
      <c r="Q118" t="s">
        <v>13</v>
      </c>
    </row>
    <row r="119" spans="1:17" x14ac:dyDescent="0.25">
      <c r="A119" t="s">
        <v>173</v>
      </c>
      <c r="B119" s="9">
        <v>45597</v>
      </c>
      <c r="C119" t="s">
        <v>20</v>
      </c>
      <c r="D119" t="s">
        <v>63</v>
      </c>
      <c r="E119" t="s">
        <v>24</v>
      </c>
      <c r="F119" t="s">
        <v>47</v>
      </c>
      <c r="G119">
        <v>11</v>
      </c>
      <c r="H119">
        <v>18000</v>
      </c>
      <c r="I119">
        <v>15</v>
      </c>
      <c r="J119">
        <v>168300</v>
      </c>
      <c r="K119">
        <v>121000</v>
      </c>
      <c r="L119">
        <v>47300</v>
      </c>
      <c r="M119">
        <v>1</v>
      </c>
      <c r="N119">
        <v>11</v>
      </c>
      <c r="O119">
        <v>2024</v>
      </c>
      <c r="P119">
        <v>0.28104575163398693</v>
      </c>
      <c r="Q119" t="s">
        <v>13</v>
      </c>
    </row>
    <row r="120" spans="1:17" x14ac:dyDescent="0.25">
      <c r="A120" t="s">
        <v>174</v>
      </c>
      <c r="B120" s="9">
        <v>45601</v>
      </c>
      <c r="C120" t="s">
        <v>20</v>
      </c>
      <c r="D120" t="s">
        <v>60</v>
      </c>
      <c r="E120" t="s">
        <v>23</v>
      </c>
      <c r="F120" t="s">
        <v>47</v>
      </c>
      <c r="G120">
        <v>5</v>
      </c>
      <c r="H120">
        <v>55000</v>
      </c>
      <c r="I120">
        <v>15</v>
      </c>
      <c r="J120">
        <v>233750</v>
      </c>
      <c r="K120">
        <v>175000</v>
      </c>
      <c r="L120">
        <v>58750</v>
      </c>
      <c r="M120">
        <v>5</v>
      </c>
      <c r="N120">
        <v>11</v>
      </c>
      <c r="O120">
        <v>2024</v>
      </c>
      <c r="P120">
        <v>0.25133689839572193</v>
      </c>
      <c r="Q120" t="s">
        <v>13</v>
      </c>
    </row>
    <row r="121" spans="1:17" x14ac:dyDescent="0.25">
      <c r="A121" t="s">
        <v>175</v>
      </c>
      <c r="B121" s="9">
        <v>45605</v>
      </c>
      <c r="C121" t="s">
        <v>20</v>
      </c>
      <c r="D121" t="s">
        <v>73</v>
      </c>
      <c r="E121" t="s">
        <v>24</v>
      </c>
      <c r="F121" t="s">
        <v>47</v>
      </c>
      <c r="G121">
        <v>8</v>
      </c>
      <c r="H121">
        <v>18000</v>
      </c>
      <c r="I121">
        <v>0</v>
      </c>
      <c r="J121">
        <v>144000</v>
      </c>
      <c r="K121">
        <v>88000</v>
      </c>
      <c r="L121">
        <v>56000</v>
      </c>
      <c r="M121">
        <v>9</v>
      </c>
      <c r="N121">
        <v>11</v>
      </c>
      <c r="O121">
        <v>2024</v>
      </c>
      <c r="P121">
        <v>0.3888888888888889</v>
      </c>
      <c r="Q121" t="s">
        <v>13</v>
      </c>
    </row>
    <row r="122" spans="1:17" x14ac:dyDescent="0.25">
      <c r="A122" t="s">
        <v>176</v>
      </c>
      <c r="B122" s="9">
        <v>45627</v>
      </c>
      <c r="C122" t="s">
        <v>20</v>
      </c>
      <c r="D122" t="s">
        <v>54</v>
      </c>
      <c r="E122" t="s">
        <v>24</v>
      </c>
      <c r="F122" t="s">
        <v>47</v>
      </c>
      <c r="G122">
        <v>7</v>
      </c>
      <c r="H122">
        <v>18000</v>
      </c>
      <c r="I122">
        <v>10</v>
      </c>
      <c r="J122">
        <v>113400</v>
      </c>
      <c r="K122">
        <v>77000</v>
      </c>
      <c r="L122">
        <v>36400</v>
      </c>
      <c r="M122">
        <v>1</v>
      </c>
      <c r="N122">
        <v>12</v>
      </c>
      <c r="O122">
        <v>2024</v>
      </c>
      <c r="P122">
        <v>0.32098765432098764</v>
      </c>
      <c r="Q122" t="s">
        <v>14</v>
      </c>
    </row>
    <row r="123" spans="1:17" x14ac:dyDescent="0.25">
      <c r="A123" t="s">
        <v>177</v>
      </c>
      <c r="B123" s="9">
        <v>45647</v>
      </c>
      <c r="C123" t="s">
        <v>20</v>
      </c>
      <c r="D123" t="s">
        <v>60</v>
      </c>
      <c r="E123" t="s">
        <v>25</v>
      </c>
      <c r="F123" t="s">
        <v>52</v>
      </c>
      <c r="G123">
        <v>3</v>
      </c>
      <c r="H123">
        <v>12000</v>
      </c>
      <c r="I123">
        <v>20</v>
      </c>
      <c r="J123">
        <v>28800</v>
      </c>
      <c r="K123">
        <v>22500</v>
      </c>
      <c r="L123">
        <v>6300</v>
      </c>
      <c r="M123">
        <v>21</v>
      </c>
      <c r="N123">
        <v>12</v>
      </c>
      <c r="O123">
        <v>2024</v>
      </c>
      <c r="P123">
        <v>0.21875</v>
      </c>
      <c r="Q123"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681CD-5C7A-419E-92E9-C7DF56125FBC}">
  <dimension ref="A1:E16"/>
  <sheetViews>
    <sheetView workbookViewId="0">
      <selection activeCell="E7" sqref="E7"/>
    </sheetView>
  </sheetViews>
  <sheetFormatPr defaultRowHeight="15" x14ac:dyDescent="0.25"/>
  <cols>
    <col min="1" max="1" width="21.42578125" bestFit="1" customWidth="1"/>
    <col min="2" max="2" width="29.7109375" bestFit="1" customWidth="1"/>
    <col min="4" max="4" width="31.7109375" bestFit="1" customWidth="1"/>
    <col min="5" max="5" width="29.7109375" bestFit="1" customWidth="1"/>
  </cols>
  <sheetData>
    <row r="1" spans="1:5" ht="28.5" x14ac:dyDescent="0.45">
      <c r="A1" s="5" t="s">
        <v>2</v>
      </c>
      <c r="B1" s="2" t="s">
        <v>0</v>
      </c>
    </row>
    <row r="2" spans="1:5" ht="28.5" x14ac:dyDescent="0.45">
      <c r="A2" s="3">
        <v>2024</v>
      </c>
      <c r="B2" s="2"/>
      <c r="D2" s="5" t="s">
        <v>16</v>
      </c>
      <c r="E2" s="1" t="s">
        <v>0</v>
      </c>
    </row>
    <row r="3" spans="1:5" ht="28.5" x14ac:dyDescent="0.45">
      <c r="A3" s="4" t="s">
        <v>3</v>
      </c>
      <c r="B3" s="2">
        <v>1135700</v>
      </c>
      <c r="D3" s="3" t="s">
        <v>17</v>
      </c>
      <c r="E3" s="2">
        <v>5288255</v>
      </c>
    </row>
    <row r="4" spans="1:5" ht="28.5" x14ac:dyDescent="0.45">
      <c r="A4" s="4" t="s">
        <v>4</v>
      </c>
      <c r="B4" s="2">
        <v>1420085</v>
      </c>
      <c r="D4" s="3" t="s">
        <v>18</v>
      </c>
      <c r="E4" s="2">
        <v>3216910</v>
      </c>
    </row>
    <row r="5" spans="1:5" ht="28.5" x14ac:dyDescent="0.45">
      <c r="A5" s="4" t="s">
        <v>5</v>
      </c>
      <c r="B5" s="2">
        <v>1118175</v>
      </c>
      <c r="D5" s="3" t="s">
        <v>19</v>
      </c>
      <c r="E5" s="2">
        <v>4685775</v>
      </c>
    </row>
    <row r="6" spans="1:5" ht="28.5" x14ac:dyDescent="0.45">
      <c r="A6" s="4" t="s">
        <v>6</v>
      </c>
      <c r="B6" s="2">
        <v>1028850</v>
      </c>
      <c r="D6" s="3" t="s">
        <v>20</v>
      </c>
      <c r="E6" s="2">
        <v>2868500</v>
      </c>
    </row>
    <row r="7" spans="1:5" ht="28.5" x14ac:dyDescent="0.45">
      <c r="A7" s="4" t="s">
        <v>7</v>
      </c>
      <c r="B7" s="2">
        <v>1018850</v>
      </c>
      <c r="D7" s="3" t="s">
        <v>15</v>
      </c>
      <c r="E7" s="2">
        <v>16059440</v>
      </c>
    </row>
    <row r="8" spans="1:5" ht="28.5" x14ac:dyDescent="0.45">
      <c r="A8" s="4" t="s">
        <v>8</v>
      </c>
      <c r="B8" s="2">
        <v>1515220</v>
      </c>
    </row>
    <row r="9" spans="1:5" ht="28.5" x14ac:dyDescent="0.45">
      <c r="A9" s="4" t="s">
        <v>9</v>
      </c>
      <c r="B9" s="2">
        <v>1681460</v>
      </c>
    </row>
    <row r="10" spans="1:5" ht="28.5" x14ac:dyDescent="0.45">
      <c r="A10" s="4" t="s">
        <v>10</v>
      </c>
      <c r="B10" s="2">
        <v>1551600</v>
      </c>
      <c r="D10" s="5" t="s">
        <v>21</v>
      </c>
      <c r="E10" s="1" t="s">
        <v>1</v>
      </c>
    </row>
    <row r="11" spans="1:5" ht="28.5" x14ac:dyDescent="0.45">
      <c r="A11" s="4" t="s">
        <v>11</v>
      </c>
      <c r="B11" s="2">
        <v>1047850</v>
      </c>
      <c r="D11" s="3" t="s">
        <v>22</v>
      </c>
      <c r="E11" s="2">
        <v>1165600</v>
      </c>
    </row>
    <row r="12" spans="1:5" ht="28.5" x14ac:dyDescent="0.45">
      <c r="A12" s="4" t="s">
        <v>12</v>
      </c>
      <c r="B12" s="2">
        <v>1062250</v>
      </c>
      <c r="D12" s="3" t="s">
        <v>23</v>
      </c>
      <c r="E12" s="2">
        <v>718500</v>
      </c>
    </row>
    <row r="13" spans="1:5" ht="28.5" x14ac:dyDescent="0.45">
      <c r="A13" s="4" t="s">
        <v>13</v>
      </c>
      <c r="B13" s="2">
        <v>1964050</v>
      </c>
      <c r="D13" s="3" t="s">
        <v>24</v>
      </c>
      <c r="E13" s="2">
        <v>827900</v>
      </c>
    </row>
    <row r="14" spans="1:5" ht="28.5" x14ac:dyDescent="0.45">
      <c r="A14" s="4" t="s">
        <v>14</v>
      </c>
      <c r="B14" s="2">
        <v>1515350</v>
      </c>
      <c r="D14" s="3" t="s">
        <v>25</v>
      </c>
      <c r="E14" s="2">
        <v>389100</v>
      </c>
    </row>
    <row r="15" spans="1:5" ht="28.5" x14ac:dyDescent="0.45">
      <c r="A15" s="3" t="s">
        <v>15</v>
      </c>
      <c r="B15" s="2">
        <v>16059440</v>
      </c>
      <c r="D15" s="3" t="s">
        <v>26</v>
      </c>
      <c r="E15" s="2">
        <v>752800</v>
      </c>
    </row>
    <row r="16" spans="1:5" ht="28.5" x14ac:dyDescent="0.45">
      <c r="D16" s="3" t="s">
        <v>15</v>
      </c>
      <c r="E16" s="6">
        <v>3853900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Sales_Dashboard_Mohd Amaan</vt:lpstr>
      <vt:lpstr>Detail1</vt:lpstr>
      <vt:lpstr>Pivot dara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Amaan Abbas</dc:creator>
  <cp:lastModifiedBy>Amaan Abbas</cp:lastModifiedBy>
  <dcterms:created xsi:type="dcterms:W3CDTF">2026-03-03T18:49:12Z</dcterms:created>
  <dcterms:modified xsi:type="dcterms:W3CDTF">2026-03-03T19:31:16Z</dcterms:modified>
</cp:coreProperties>
</file>