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055BFF4-8B6C-41D7-9462-D34A1A7B989C}" xr6:coauthVersionLast="47" xr6:coauthVersionMax="47" xr10:uidLastSave="{00000000-0000-0000-0000-000000000000}"/>
  <bookViews>
    <workbookView xWindow="-120" yWindow="-120" windowWidth="20730" windowHeight="11160" activeTab="3" xr2:uid="{B3ECD894-A1C7-4243-A476-AEB2ECE41B63}"/>
  </bookViews>
  <sheets>
    <sheet name="Category" sheetId="1" r:id="rId1"/>
    <sheet name="Event Budget" sheetId="2" r:id="rId2"/>
    <sheet name="Exception Report" sheetId="3" r:id="rId3"/>
    <sheet name="Dashboards" sheetId="4" r:id="rId4"/>
  </sheets>
  <calcPr calcId="191029" iterateDelta="1E-4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4" l="1"/>
  <c r="C9" i="4"/>
  <c r="D9" i="4"/>
  <c r="B10" i="4"/>
  <c r="C10" i="4"/>
  <c r="D10" i="4"/>
  <c r="B11" i="4"/>
  <c r="C11" i="4"/>
  <c r="D11" i="4"/>
  <c r="G4" i="4"/>
  <c r="D4" i="4"/>
  <c r="B4" i="4"/>
  <c r="F2" i="2" a="1"/>
  <c r="F2" i="3" s="1"/>
  <c r="F11" i="3"/>
  <c r="F10" i="3"/>
  <c r="F9" i="3"/>
  <c r="F8" i="3"/>
  <c r="F7" i="3"/>
  <c r="F6" i="3"/>
  <c r="F5" i="3"/>
  <c r="F4" i="3"/>
  <c r="F3" i="3"/>
  <c r="E11" i="3"/>
  <c r="E10" i="3"/>
  <c r="E9" i="3"/>
  <c r="E8" i="3"/>
  <c r="E7" i="3"/>
  <c r="E6" i="3"/>
  <c r="E5" i="3"/>
  <c r="E4" i="3"/>
  <c r="E3" i="3"/>
  <c r="D11" i="3"/>
  <c r="D10" i="3"/>
  <c r="D9" i="3"/>
  <c r="D8" i="3"/>
  <c r="D7" i="3"/>
  <c r="D6" i="3"/>
  <c r="D5" i="3"/>
  <c r="D4" i="3"/>
  <c r="D3" i="3"/>
  <c r="C11" i="3"/>
  <c r="C10" i="3"/>
  <c r="C9" i="3"/>
  <c r="C8" i="3"/>
  <c r="C7" i="3"/>
  <c r="C6" i="3"/>
  <c r="C5" i="3"/>
  <c r="C4" i="3"/>
  <c r="C3" i="3"/>
  <c r="B11" i="3"/>
  <c r="B10" i="3"/>
  <c r="B9" i="3"/>
  <c r="B8" i="3"/>
  <c r="B7" i="3"/>
  <c r="B6" i="3"/>
  <c r="B5" i="3"/>
  <c r="B4" i="3"/>
  <c r="B3" i="3"/>
  <c r="E2" i="3"/>
  <c r="D2" i="3"/>
  <c r="C2" i="3"/>
  <c r="B2" i="3"/>
  <c r="A11" i="3"/>
  <c r="A10" i="3"/>
  <c r="A9" i="3"/>
  <c r="A8" i="3"/>
  <c r="A7" i="3"/>
  <c r="A6" i="3"/>
  <c r="A5" i="3"/>
  <c r="A4" i="3"/>
  <c r="A3" i="3"/>
  <c r="A2" i="3"/>
  <c r="E11" i="2"/>
  <c r="E10" i="2"/>
  <c r="E9" i="2"/>
  <c r="E8" i="2"/>
  <c r="E7" i="2"/>
  <c r="E6" i="2"/>
  <c r="E5" i="2"/>
  <c r="E4" i="2"/>
  <c r="E3" i="2"/>
  <c r="E2" i="2"/>
  <c r="D11" i="2"/>
  <c r="D10" i="2"/>
  <c r="D9" i="2"/>
  <c r="D8" i="2"/>
  <c r="D7" i="2"/>
  <c r="D6" i="2"/>
  <c r="D5" i="2"/>
  <c r="D4" i="2"/>
  <c r="D3" i="2"/>
  <c r="D2" i="2"/>
  <c r="C11" i="2"/>
  <c r="C10" i="2"/>
  <c r="C9" i="2"/>
  <c r="C8" i="2"/>
  <c r="C7" i="2"/>
  <c r="C6" i="2"/>
  <c r="C5" i="2"/>
  <c r="C4" i="2"/>
  <c r="C3" i="2"/>
  <c r="C2" i="2"/>
  <c r="B11" i="2"/>
  <c r="B10" i="2"/>
  <c r="B9" i="2"/>
  <c r="B8" i="2"/>
  <c r="B7" i="2"/>
  <c r="B6" i="2"/>
  <c r="B5" i="2"/>
  <c r="B4" i="2"/>
  <c r="B3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<sst xmlns="http://schemas.openxmlformats.org/spreadsheetml/2006/main" count="49" uniqueCount="26">
  <si>
    <t>Category</t>
  </si>
  <si>
    <t>Variance %</t>
  </si>
  <si>
    <t>Exception Level</t>
  </si>
  <si>
    <t>Item</t>
  </si>
  <si>
    <t>Planned Budget</t>
  </si>
  <si>
    <t>Actual Spend</t>
  </si>
  <si>
    <t>Venue</t>
  </si>
  <si>
    <t>Venue Rental</t>
  </si>
  <si>
    <t>Décor &amp; Setup</t>
  </si>
  <si>
    <t>F&amp;B</t>
  </si>
  <si>
    <t>Catering</t>
  </si>
  <si>
    <t>Beverages</t>
  </si>
  <si>
    <t>Vendor</t>
  </si>
  <si>
    <t>Sound &amp; Lighting</t>
  </si>
  <si>
    <t>Photography</t>
  </si>
  <si>
    <t>Staffing</t>
  </si>
  <si>
    <t>Event Staff</t>
  </si>
  <si>
    <t>Security</t>
  </si>
  <si>
    <t>Marketing</t>
  </si>
  <si>
    <t>Digital Promotion</t>
  </si>
  <si>
    <t>Print</t>
  </si>
  <si>
    <t>Actual Spent</t>
  </si>
  <si>
    <t>Variance</t>
  </si>
  <si>
    <r>
      <t xml:space="preserve">Variance </t>
    </r>
    <r>
      <rPr>
        <sz val="14"/>
        <color theme="1"/>
        <rFont val="Aptos Narrow"/>
        <family val="2"/>
        <scheme val="minor"/>
      </rPr>
      <t>(Planned - Actual)</t>
    </r>
  </si>
  <si>
    <t>Items Needing Escalation</t>
  </si>
  <si>
    <t xml:space="preserve">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</si>
</sst>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"/>
    <numFmt numFmtId="165" formatCode="0.0%"/>
    <numFmt numFmtId="170" formatCode="&quot;₹&quot;\ #,##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170" fontId="3" fillId="0" borderId="1" xfId="0" applyNumberFormat="1" applyFont="1" applyBorder="1" applyAlignment="1">
      <alignment horizontal="center"/>
    </xf>
    <xf numFmtId="0" fontId="1" fillId="0" borderId="0" xfId="0" applyFont="1"/>
    <xf numFmtId="0" fontId="4" fillId="0" borderId="0" xfId="0" applyFont="1"/>
    <xf numFmtId="170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4" borderId="0" xfId="0" applyFont="1" applyFill="1" applyAlignment="1"/>
    <xf numFmtId="1" fontId="7" fillId="4" borderId="0" xfId="0" applyNumberFormat="1" applyFont="1" applyFill="1" applyAlignment="1"/>
    <xf numFmtId="0" fontId="0" fillId="4" borderId="0" xfId="0" applyFill="1"/>
    <xf numFmtId="170" fontId="7" fillId="4" borderId="0" xfId="0" applyNumberFormat="1" applyFont="1" applyFill="1" applyAlignment="1"/>
    <xf numFmtId="165" fontId="0" fillId="0" borderId="0" xfId="0" applyNumberFormat="1"/>
    <xf numFmtId="0" fontId="1" fillId="0" borderId="0" xfId="0" applyFont="1" applyAlignment="1">
      <alignment horizontal="left"/>
    </xf>
    <xf numFmtId="0" fontId="6" fillId="3" borderId="0" xfId="0" applyFont="1" applyFill="1" applyAlignment="1">
      <alignment horizontal="center" vertical="center"/>
    </xf>
    <xf numFmtId="170" fontId="6" fillId="3" borderId="0" xfId="0" applyNumberFormat="1" applyFont="1" applyFill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11"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0.0%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476249</xdr:colOff>
      <xdr:row>0</xdr:row>
      <xdr:rowOff>85725</xdr:rowOff>
    </xdr:from>
    <xdr:to>
      <xdr:col>9</xdr:col>
      <xdr:colOff>114300</xdr:colOff>
      <xdr:row>2</xdr:row>
      <xdr:rowOff>47625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02978AE-9CFF-8020-DB5F-33EA0649D859}"/>
            </a:ext>
          </a:extLst>
        </xdr:cNvPr>
        <xdr:cNvSpPr/>
      </xdr:nvSpPr>
      <xdr:spPr>
        <a:xfrm>
          <a:off x="4705349" y="85725"/>
          <a:ext cx="2305051" cy="390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Budget Variance (₹)</a:t>
          </a:r>
          <a:r>
            <a:rPr lang="en-IN" sz="1800">
              <a:effectLst/>
            </a:rPr>
            <a:t> </a:t>
          </a:r>
          <a:endParaRPr lang="en-IN" sz="1800"/>
        </a:p>
      </xdr:txBody>
    </xdr:sp>
    <xdr:clientData/>
  </xdr:twoCellAnchor>
  <xdr:twoCellAnchor>
    <xdr:from>
      <xdr:col>0</xdr:col>
      <xdr:colOff>57150</xdr:colOff>
      <xdr:row>0</xdr:row>
      <xdr:rowOff>76200</xdr:rowOff>
    </xdr:from>
    <xdr:to>
      <xdr:col>2</xdr:col>
      <xdr:colOff>228601</xdr:colOff>
      <xdr:row>2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77DB531-D225-325A-24ED-540E5FE11D5E}"/>
            </a:ext>
          </a:extLst>
        </xdr:cNvPr>
        <xdr:cNvSpPr/>
      </xdr:nvSpPr>
      <xdr:spPr>
        <a:xfrm>
          <a:off x="57150" y="76200"/>
          <a:ext cx="2143126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Items Tracked</a:t>
          </a:r>
          <a:r>
            <a:rPr lang="en-IN" sz="1800">
              <a:effectLst/>
            </a:rPr>
            <a:t> </a:t>
          </a:r>
          <a:endParaRPr lang="en-IN" sz="1800"/>
        </a:p>
      </xdr:txBody>
    </xdr:sp>
    <xdr:clientData/>
  </xdr:twoCellAnchor>
  <xdr:twoCellAnchor>
    <xdr:from>
      <xdr:col>2</xdr:col>
      <xdr:colOff>390524</xdr:colOff>
      <xdr:row>0</xdr:row>
      <xdr:rowOff>76200</xdr:rowOff>
    </xdr:from>
    <xdr:to>
      <xdr:col>5</xdr:col>
      <xdr:colOff>285750</xdr:colOff>
      <xdr:row>2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F44108D-3A72-F76A-ABE5-D8CCA1455BA5}"/>
            </a:ext>
          </a:extLst>
        </xdr:cNvPr>
        <xdr:cNvSpPr/>
      </xdr:nvSpPr>
      <xdr:spPr>
        <a:xfrm>
          <a:off x="2362199" y="76200"/>
          <a:ext cx="2152651" cy="390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Badly Overspent Count</a:t>
          </a:r>
          <a:r>
            <a:rPr lang="en-IN" sz="1600">
              <a:effectLst/>
            </a:rPr>
            <a:t> </a:t>
          </a:r>
          <a:endParaRPr lang="en-IN" sz="16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1.65359652778" createdVersion="8" refreshedVersion="8" minRefreshableVersion="3" recordCount="10" xr:uid="{837CFC61-43F4-40A9-A541-42757502EF8D}">
  <cacheSource type="worksheet">
    <worksheetSource ref="A1:E11" sheet="Event Budget"/>
  </cacheSource>
  <cacheFields count="5">
    <cacheField name="Item" numFmtId="0">
      <sharedItems/>
    </cacheField>
    <cacheField name="Planned Budget" numFmtId="170">
      <sharedItems containsSemiMixedTypes="0" containsString="0" containsNumber="1" containsInteger="1" minValue="5000" maxValue="80000"/>
    </cacheField>
    <cacheField name="Actual Spent" numFmtId="170">
      <sharedItems containsSemiMixedTypes="0" containsString="0" containsNumber="1" containsInteger="1" minValue="5500" maxValue="92000"/>
    </cacheField>
    <cacheField name="Variance (Planned - Actual)" numFmtId="170">
      <sharedItems containsSemiMixedTypes="0" containsString="0" containsNumber="1" containsInteger="1" minValue="-12000" maxValue="4000"/>
    </cacheField>
    <cacheField name="Variance %" numFmtId="10">
      <sharedItems containsSemiMixedTypes="0" containsString="0" containsNumber="1" minValue="-0.33333333333333331" maxValue="0.33333333333333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Venue Rental"/>
    <n v="80000"/>
    <n v="92000"/>
    <n v="-12000"/>
    <n v="-0.15"/>
  </r>
  <r>
    <s v="Décor &amp; Setup"/>
    <n v="25000"/>
    <n v="22000"/>
    <n v="3000"/>
    <n v="0.12"/>
  </r>
  <r>
    <s v="Catering"/>
    <n v="60000"/>
    <n v="58000"/>
    <n v="2000"/>
    <n v="3.3333333333333333E-2"/>
  </r>
  <r>
    <s v="Beverages"/>
    <n v="15000"/>
    <n v="19000"/>
    <n v="-4000"/>
    <n v="-0.26666666666666666"/>
  </r>
  <r>
    <s v="Sound &amp; Lighting"/>
    <n v="30000"/>
    <n v="35000"/>
    <n v="-5000"/>
    <n v="-0.16666666666666666"/>
  </r>
  <r>
    <s v="Photography"/>
    <n v="20000"/>
    <n v="20000"/>
    <n v="0"/>
    <n v="0"/>
  </r>
  <r>
    <s v="Event Staff"/>
    <n v="18000"/>
    <n v="24000"/>
    <n v="-6000"/>
    <n v="-0.33333333333333331"/>
  </r>
  <r>
    <s v="Security"/>
    <n v="10000"/>
    <n v="9000"/>
    <n v="1000"/>
    <n v="0.1"/>
  </r>
  <r>
    <s v="Digital Promotion"/>
    <n v="12000"/>
    <n v="8000"/>
    <n v="4000"/>
    <n v="0.33333333333333331"/>
  </r>
  <r>
    <s v="Print"/>
    <n v="5000"/>
    <n v="5500"/>
    <n v="-500"/>
    <n v="-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F2A62-4579-43A9-9924-E595FC852DA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D31" firstHeaderRow="1" firstDataRow="1" firstDataCol="0"/>
  <pivotFields count="5">
    <pivotField showAll="0"/>
    <pivotField numFmtId="170" showAll="0"/>
    <pivotField numFmtId="170" showAll="0"/>
    <pivotField numFmtId="170" showAll="0"/>
    <pivotField numFmtId="1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189A31-52C3-4802-BC75-D2A9B90CCDEF}" name="Table2" displayName="Table2" ref="B8:D11" totalsRowShown="0" headerRowDxfId="8" dataDxfId="9">
  <autoFilter ref="B8:D11" xr:uid="{C5189A31-52C3-4802-BC75-D2A9B90CCDEF}">
    <filterColumn colId="0" hiddenButton="1"/>
    <filterColumn colId="1" hiddenButton="1"/>
    <filterColumn colId="2" hiddenButton="1"/>
  </autoFilter>
  <tableColumns count="3">
    <tableColumn id="1" xr3:uid="{CD65C733-094E-4E5E-8806-FA25EFC215FC}" name="Items Needing Escalation" dataDxfId="7"/>
    <tableColumn id="4" xr3:uid="{00197FF6-69B7-42BB-A935-95BC44E1E7B7}" name="Variance "/>
    <tableColumn id="5" xr3:uid="{8DD19D32-56D7-475C-9ADF-C653E5E753BE}" name="Variance %" dataDxfId="1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96B2-7113-42D2-B68C-F1AF080D0ED5}">
  <dimension ref="A1:I17"/>
  <sheetViews>
    <sheetView workbookViewId="0">
      <selection activeCell="D16" sqref="D16"/>
    </sheetView>
  </sheetViews>
  <sheetFormatPr defaultRowHeight="15" x14ac:dyDescent="0.25"/>
  <cols>
    <col min="1" max="1" width="12.85546875" bestFit="1" customWidth="1"/>
    <col min="2" max="2" width="16.28515625" bestFit="1" customWidth="1"/>
    <col min="3" max="3" width="15.85546875" customWidth="1"/>
    <col min="6" max="7" width="8.42578125" bestFit="1" customWidth="1"/>
    <col min="8" max="8" width="16.28515625" customWidth="1"/>
    <col min="9" max="9" width="30.7109375" customWidth="1"/>
  </cols>
  <sheetData>
    <row r="1" spans="1:9" ht="30" x14ac:dyDescent="0.25">
      <c r="A1" s="1" t="s">
        <v>0</v>
      </c>
      <c r="B1" s="1" t="s">
        <v>3</v>
      </c>
      <c r="C1" s="1" t="s">
        <v>4</v>
      </c>
      <c r="D1" s="1" t="s">
        <v>5</v>
      </c>
      <c r="E1" s="1"/>
      <c r="F1" s="1"/>
      <c r="G1" s="1"/>
      <c r="H1" s="1"/>
      <c r="I1" s="1"/>
    </row>
    <row r="2" spans="1:9" x14ac:dyDescent="0.25">
      <c r="A2" s="2" t="s">
        <v>6</v>
      </c>
      <c r="B2" s="2" t="s">
        <v>7</v>
      </c>
      <c r="C2" s="7">
        <v>80000</v>
      </c>
      <c r="D2" s="7">
        <v>92000</v>
      </c>
      <c r="E2" s="4"/>
      <c r="F2" s="4"/>
      <c r="G2" s="5"/>
      <c r="H2" s="3"/>
      <c r="I2" s="6"/>
    </row>
    <row r="3" spans="1:9" x14ac:dyDescent="0.25">
      <c r="A3" s="2" t="s">
        <v>6</v>
      </c>
      <c r="B3" s="2" t="s">
        <v>8</v>
      </c>
      <c r="C3" s="7">
        <v>25000</v>
      </c>
      <c r="D3" s="7">
        <v>22000</v>
      </c>
      <c r="E3" s="4"/>
      <c r="F3" s="4"/>
      <c r="G3" s="5"/>
      <c r="H3" s="3"/>
      <c r="I3" s="6"/>
    </row>
    <row r="4" spans="1:9" x14ac:dyDescent="0.25">
      <c r="A4" s="2" t="s">
        <v>9</v>
      </c>
      <c r="B4" s="2" t="s">
        <v>10</v>
      </c>
      <c r="C4" s="7">
        <v>60000</v>
      </c>
      <c r="D4" s="7">
        <v>58000</v>
      </c>
      <c r="E4" s="4"/>
      <c r="F4" s="4"/>
      <c r="G4" s="5"/>
      <c r="H4" s="3"/>
      <c r="I4" s="6"/>
    </row>
    <row r="5" spans="1:9" x14ac:dyDescent="0.25">
      <c r="A5" s="2" t="s">
        <v>9</v>
      </c>
      <c r="B5" s="2" t="s">
        <v>11</v>
      </c>
      <c r="C5" s="7">
        <v>15000</v>
      </c>
      <c r="D5" s="7">
        <v>19000</v>
      </c>
      <c r="E5" s="4"/>
      <c r="F5" s="4"/>
      <c r="G5" s="5"/>
      <c r="H5" s="3"/>
      <c r="I5" s="6"/>
    </row>
    <row r="6" spans="1:9" x14ac:dyDescent="0.25">
      <c r="A6" s="2" t="s">
        <v>12</v>
      </c>
      <c r="B6" s="2" t="s">
        <v>13</v>
      </c>
      <c r="C6" s="7">
        <v>30000</v>
      </c>
      <c r="D6" s="7">
        <v>35000</v>
      </c>
      <c r="E6" s="4"/>
      <c r="F6" s="4"/>
      <c r="G6" s="5"/>
      <c r="H6" s="3"/>
      <c r="I6" s="6"/>
    </row>
    <row r="7" spans="1:9" x14ac:dyDescent="0.25">
      <c r="A7" s="2" t="s">
        <v>12</v>
      </c>
      <c r="B7" s="2" t="s">
        <v>14</v>
      </c>
      <c r="C7" s="7">
        <v>20000</v>
      </c>
      <c r="D7" s="7">
        <v>20000</v>
      </c>
      <c r="E7" s="4"/>
      <c r="F7" s="4"/>
      <c r="G7" s="5"/>
      <c r="H7" s="3"/>
      <c r="I7" s="6"/>
    </row>
    <row r="8" spans="1:9" x14ac:dyDescent="0.25">
      <c r="A8" s="2" t="s">
        <v>15</v>
      </c>
      <c r="B8" s="2" t="s">
        <v>16</v>
      </c>
      <c r="C8" s="7">
        <v>18000</v>
      </c>
      <c r="D8" s="7">
        <v>24000</v>
      </c>
      <c r="E8" s="4"/>
      <c r="F8" s="4"/>
      <c r="G8" s="5"/>
      <c r="H8" s="3"/>
      <c r="I8" s="6"/>
    </row>
    <row r="9" spans="1:9" x14ac:dyDescent="0.25">
      <c r="A9" s="2" t="s">
        <v>15</v>
      </c>
      <c r="B9" s="2" t="s">
        <v>17</v>
      </c>
      <c r="C9" s="7">
        <v>10000</v>
      </c>
      <c r="D9" s="7">
        <v>9000</v>
      </c>
      <c r="E9" s="4"/>
      <c r="F9" s="4"/>
      <c r="G9" s="5"/>
      <c r="H9" s="3"/>
      <c r="I9" s="6"/>
    </row>
    <row r="10" spans="1:9" x14ac:dyDescent="0.25">
      <c r="A10" s="2" t="s">
        <v>18</v>
      </c>
      <c r="B10" s="2" t="s">
        <v>19</v>
      </c>
      <c r="C10" s="7">
        <v>12000</v>
      </c>
      <c r="D10" s="7">
        <v>8000</v>
      </c>
      <c r="E10" s="4"/>
      <c r="F10" s="4"/>
      <c r="G10" s="5"/>
      <c r="H10" s="3"/>
      <c r="I10" s="6"/>
    </row>
    <row r="11" spans="1:9" x14ac:dyDescent="0.25">
      <c r="A11" s="2" t="s">
        <v>18</v>
      </c>
      <c r="B11" s="2" t="s">
        <v>20</v>
      </c>
      <c r="C11" s="7">
        <v>5000</v>
      </c>
      <c r="D11" s="7">
        <v>5500</v>
      </c>
      <c r="E11" s="4"/>
      <c r="F11" s="4"/>
      <c r="G11" s="5"/>
      <c r="H11" s="3"/>
      <c r="I11" s="6"/>
    </row>
    <row r="12" spans="1:9" x14ac:dyDescent="0.25">
      <c r="A12" s="2"/>
      <c r="B12" s="2"/>
      <c r="C12" s="3"/>
      <c r="D12" s="4"/>
      <c r="E12" s="4"/>
      <c r="F12" s="4"/>
      <c r="G12" s="5"/>
      <c r="H12" s="3"/>
      <c r="I12" s="6"/>
    </row>
    <row r="13" spans="1:9" x14ac:dyDescent="0.25">
      <c r="A13" s="2"/>
      <c r="B13" s="2"/>
      <c r="C13" s="3"/>
      <c r="D13" s="4"/>
      <c r="E13" s="4"/>
      <c r="F13" s="4"/>
      <c r="G13" s="5"/>
      <c r="H13" s="3"/>
      <c r="I13" s="6"/>
    </row>
    <row r="14" spans="1:9" x14ac:dyDescent="0.25">
      <c r="A14" s="2"/>
      <c r="B14" s="2"/>
      <c r="C14" s="3"/>
      <c r="D14" s="4"/>
      <c r="E14" s="4"/>
      <c r="F14" s="4"/>
      <c r="G14" s="5"/>
      <c r="H14" s="3"/>
      <c r="I14" s="6"/>
    </row>
    <row r="15" spans="1:9" x14ac:dyDescent="0.25">
      <c r="A15" s="2"/>
      <c r="B15" s="2"/>
      <c r="C15" s="3"/>
      <c r="D15" s="4"/>
      <c r="E15" s="4"/>
      <c r="F15" s="4"/>
      <c r="G15" s="5"/>
      <c r="H15" s="3"/>
      <c r="I15" s="6"/>
    </row>
    <row r="16" spans="1:9" x14ac:dyDescent="0.25">
      <c r="A16" s="2"/>
      <c r="B16" s="2"/>
      <c r="C16" s="3"/>
      <c r="D16" s="4"/>
      <c r="E16" s="4"/>
      <c r="F16" s="4"/>
      <c r="G16" s="5"/>
      <c r="H16" s="3"/>
      <c r="I16" s="6"/>
    </row>
    <row r="17" spans="1:9" x14ac:dyDescent="0.25">
      <c r="A17" s="2"/>
      <c r="B17" s="2"/>
      <c r="C17" s="3"/>
      <c r="D17" s="4"/>
      <c r="E17" s="4"/>
      <c r="F17" s="4"/>
      <c r="G17" s="5"/>
      <c r="H17" s="3"/>
      <c r="I17" s="6"/>
    </row>
  </sheetData>
  <conditionalFormatting sqref="A2:I17">
    <cfRule type="expression" dxfId="6" priority="1">
      <formula>$H2="Red"</formula>
    </cfRule>
    <cfRule type="expression" dxfId="5" priority="2">
      <formula>$H2="Amber"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80C2-4057-440C-8759-F89D1F03338A}">
  <dimension ref="A1:F11"/>
  <sheetViews>
    <sheetView workbookViewId="0">
      <selection activeCell="F3" sqref="F3"/>
    </sheetView>
  </sheetViews>
  <sheetFormatPr defaultRowHeight="15" x14ac:dyDescent="0.25"/>
  <cols>
    <col min="1" max="1" width="15.28515625" bestFit="1" customWidth="1"/>
    <col min="2" max="2" width="19.140625" bestFit="1" customWidth="1"/>
    <col min="3" max="3" width="15.5703125" bestFit="1" customWidth="1"/>
    <col min="4" max="4" width="31.85546875" bestFit="1" customWidth="1"/>
    <col min="5" max="5" width="13.5703125" bestFit="1" customWidth="1"/>
    <col min="6" max="6" width="19.140625" bestFit="1" customWidth="1"/>
  </cols>
  <sheetData>
    <row r="1" spans="1:6" ht="18.75" x14ac:dyDescent="0.3">
      <c r="A1" s="9" t="s">
        <v>3</v>
      </c>
      <c r="B1" s="9" t="s">
        <v>4</v>
      </c>
      <c r="C1" s="9" t="s">
        <v>21</v>
      </c>
      <c r="D1" s="9" t="s">
        <v>23</v>
      </c>
      <c r="E1" s="9" t="s">
        <v>1</v>
      </c>
      <c r="F1" s="9" t="s">
        <v>2</v>
      </c>
    </row>
    <row r="2" spans="1:6" x14ac:dyDescent="0.25">
      <c r="A2" s="2" t="s">
        <v>7</v>
      </c>
      <c r="B2" s="10">
        <f>SUMIF('Event Budget'!A2:A11,'Event Budget'!A2,Category!C2:C11)</f>
        <v>80000</v>
      </c>
      <c r="C2" s="10">
        <f>SUMIF('Event Budget'!B2:B11,'Event Budget'!B2,Category!D2:D11)</f>
        <v>92000</v>
      </c>
      <c r="D2" s="10">
        <f>B2-C2</f>
        <v>-12000</v>
      </c>
      <c r="E2" s="11">
        <f>D2/B2</f>
        <v>-0.15</v>
      </c>
      <c r="F2" t="str" cm="1">
        <f t="array" ref="F2:F11">_xlfn.IFS(E2:E11&lt;-15%,"Badly Overspent",E2:E11&lt;-8%,"Mildly Overspent",E2:E11&gt;-8%,"On Track")</f>
        <v>Mildly Overspent</v>
      </c>
    </row>
    <row r="3" spans="1:6" x14ac:dyDescent="0.25">
      <c r="A3" s="2" t="s">
        <v>8</v>
      </c>
      <c r="B3" s="10">
        <f>SUMIF('Event Budget'!A3:A12,'Event Budget'!A3,Category!C3:C12)</f>
        <v>25000</v>
      </c>
      <c r="C3" s="10">
        <f>SUMIF('Event Budget'!B3:B12,'Event Budget'!B3,Category!D3:D12)</f>
        <v>22000</v>
      </c>
      <c r="D3" s="10">
        <f t="shared" ref="D3:D11" si="0">B3-C3</f>
        <v>3000</v>
      </c>
      <c r="E3" s="11">
        <f t="shared" ref="E3:E11" si="1">D3/B3</f>
        <v>0.12</v>
      </c>
      <c r="F3" t="str">
        <v>On Track</v>
      </c>
    </row>
    <row r="4" spans="1:6" x14ac:dyDescent="0.25">
      <c r="A4" s="2" t="s">
        <v>10</v>
      </c>
      <c r="B4" s="10">
        <f>SUMIF('Event Budget'!A4:A13,'Event Budget'!A4,Category!C4:C13)</f>
        <v>60000</v>
      </c>
      <c r="C4" s="10">
        <f>SUMIF('Event Budget'!B4:B13,'Event Budget'!B4,Category!D4:D13)</f>
        <v>58000</v>
      </c>
      <c r="D4" s="10">
        <f t="shared" si="0"/>
        <v>2000</v>
      </c>
      <c r="E4" s="11">
        <f t="shared" si="1"/>
        <v>3.3333333333333333E-2</v>
      </c>
      <c r="F4" t="str">
        <v>On Track</v>
      </c>
    </row>
    <row r="5" spans="1:6" x14ac:dyDescent="0.25">
      <c r="A5" s="2" t="s">
        <v>11</v>
      </c>
      <c r="B5" s="10">
        <f>SUMIF('Event Budget'!A5:A14,'Event Budget'!A5,Category!C5:C14)</f>
        <v>15000</v>
      </c>
      <c r="C5" s="10">
        <f>SUMIF('Event Budget'!B5:B14,'Event Budget'!B5,Category!D5:D14)</f>
        <v>19000</v>
      </c>
      <c r="D5" s="10">
        <f t="shared" si="0"/>
        <v>-4000</v>
      </c>
      <c r="E5" s="11">
        <f t="shared" si="1"/>
        <v>-0.26666666666666666</v>
      </c>
      <c r="F5" t="str">
        <v>Badly Overspent</v>
      </c>
    </row>
    <row r="6" spans="1:6" x14ac:dyDescent="0.25">
      <c r="A6" s="2" t="s">
        <v>13</v>
      </c>
      <c r="B6" s="10">
        <f>SUMIF('Event Budget'!A6:A15,'Event Budget'!A6,Category!C6:C15)</f>
        <v>30000</v>
      </c>
      <c r="C6" s="10">
        <f>SUMIF('Event Budget'!B6:B15,'Event Budget'!B6,Category!D6:D15)</f>
        <v>35000</v>
      </c>
      <c r="D6" s="10">
        <f t="shared" si="0"/>
        <v>-5000</v>
      </c>
      <c r="E6" s="11">
        <f t="shared" si="1"/>
        <v>-0.16666666666666666</v>
      </c>
      <c r="F6" t="str">
        <v>Badly Overspent</v>
      </c>
    </row>
    <row r="7" spans="1:6" x14ac:dyDescent="0.25">
      <c r="A7" s="2" t="s">
        <v>14</v>
      </c>
      <c r="B7" s="10">
        <f>SUMIF('Event Budget'!A7:A16,'Event Budget'!A7,Category!C7:C16)</f>
        <v>20000</v>
      </c>
      <c r="C7" s="10">
        <f>SUMIF('Event Budget'!B7:B16,'Event Budget'!B7,Category!D7:D16)</f>
        <v>20000</v>
      </c>
      <c r="D7" s="10">
        <f t="shared" si="0"/>
        <v>0</v>
      </c>
      <c r="E7" s="11">
        <f t="shared" si="1"/>
        <v>0</v>
      </c>
      <c r="F7" t="str">
        <v>On Track</v>
      </c>
    </row>
    <row r="8" spans="1:6" x14ac:dyDescent="0.25">
      <c r="A8" s="2" t="s">
        <v>16</v>
      </c>
      <c r="B8" s="10">
        <f>SUMIF('Event Budget'!A8:A17,'Event Budget'!A8,Category!C8:C17)</f>
        <v>18000</v>
      </c>
      <c r="C8" s="10">
        <f>SUMIF('Event Budget'!B8:B17,'Event Budget'!B8,Category!D8:D17)</f>
        <v>24000</v>
      </c>
      <c r="D8" s="10">
        <f t="shared" si="0"/>
        <v>-6000</v>
      </c>
      <c r="E8" s="11">
        <f t="shared" si="1"/>
        <v>-0.33333333333333331</v>
      </c>
      <c r="F8" t="str">
        <v>Badly Overspent</v>
      </c>
    </row>
    <row r="9" spans="1:6" x14ac:dyDescent="0.25">
      <c r="A9" s="2" t="s">
        <v>17</v>
      </c>
      <c r="B9" s="10">
        <f>SUMIF('Event Budget'!A9:A18,'Event Budget'!A9,Category!C9:C18)</f>
        <v>10000</v>
      </c>
      <c r="C9" s="10">
        <f>SUMIF('Event Budget'!B9:B18,'Event Budget'!B9,Category!D9:D18)</f>
        <v>9000</v>
      </c>
      <c r="D9" s="10">
        <f t="shared" si="0"/>
        <v>1000</v>
      </c>
      <c r="E9" s="11">
        <f t="shared" si="1"/>
        <v>0.1</v>
      </c>
      <c r="F9" t="str">
        <v>On Track</v>
      </c>
    </row>
    <row r="10" spans="1:6" x14ac:dyDescent="0.25">
      <c r="A10" s="2" t="s">
        <v>19</v>
      </c>
      <c r="B10" s="10">
        <f>SUMIF('Event Budget'!A10:A19,'Event Budget'!A10,Category!C10:C19)</f>
        <v>12000</v>
      </c>
      <c r="C10" s="10">
        <f>SUMIF('Event Budget'!B10:B19,'Event Budget'!B10,Category!D10:D19)</f>
        <v>8000</v>
      </c>
      <c r="D10" s="10">
        <f t="shared" si="0"/>
        <v>4000</v>
      </c>
      <c r="E10" s="11">
        <f t="shared" si="1"/>
        <v>0.33333333333333331</v>
      </c>
      <c r="F10" t="str">
        <v>On Track</v>
      </c>
    </row>
    <row r="11" spans="1:6" x14ac:dyDescent="0.25">
      <c r="A11" s="2" t="s">
        <v>20</v>
      </c>
      <c r="B11" s="10">
        <f>SUMIF('Event Budget'!A11:A20,'Event Budget'!A11,Category!C11:C20)</f>
        <v>5000</v>
      </c>
      <c r="C11" s="10">
        <f>SUMIF('Event Budget'!B11:B20,'Event Budget'!B11,Category!D11:D20)</f>
        <v>5500</v>
      </c>
      <c r="D11" s="10">
        <f t="shared" si="0"/>
        <v>-500</v>
      </c>
      <c r="E11" s="11">
        <f t="shared" si="1"/>
        <v>-0.1</v>
      </c>
      <c r="F11" t="str">
        <v>Mildly Overspent</v>
      </c>
    </row>
  </sheetData>
  <conditionalFormatting sqref="A2:A11">
    <cfRule type="expression" dxfId="4" priority="4">
      <formula>$H2="Red"</formula>
    </cfRule>
    <cfRule type="expression" dxfId="3" priority="5">
      <formula>$H2="Amber"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FF7A6C36-B772-43CB-9818-6927EFA2FFA4}">
            <xm:f>NOT(ISERROR(SEARCH($F$5,F2)))</xm:f>
            <xm:f>$F$5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94B8A980-5A2C-4912-926C-45FD2CB4E28B}">
            <xm:f>NOT(ISERROR(SEARCH($F$3,F2)))</xm:f>
            <xm:f>$F$3</xm:f>
            <x14:dxf>
              <fill>
                <patternFill>
                  <bgColor theme="9"/>
                </patternFill>
              </fill>
            </x14:dxf>
          </x14:cfRule>
          <x14:cfRule type="containsText" priority="3" operator="containsText" id="{8CC6F250-46EF-4FCB-A7DA-299AD8F09D9D}">
            <xm:f>NOT(ISERROR(SEARCH($F$2,F2)))</xm:f>
            <xm:f>$F$2</xm:f>
            <x14:dxf>
              <fill>
                <patternFill>
                  <bgColor rgb="FFFFFF00"/>
                </patternFill>
              </fill>
            </x14:dxf>
          </x14:cfRule>
          <xm:sqref>F2:F11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ED6D-22B2-4800-966E-32B1A19ACCFA}">
  <dimension ref="A1:F11"/>
  <sheetViews>
    <sheetView workbookViewId="0">
      <selection activeCell="B3" sqref="B3"/>
    </sheetView>
  </sheetViews>
  <sheetFormatPr defaultRowHeight="15" x14ac:dyDescent="0.25"/>
  <cols>
    <col min="1" max="1" width="12.42578125" bestFit="1" customWidth="1"/>
    <col min="2" max="2" width="19.140625" bestFit="1" customWidth="1"/>
    <col min="3" max="3" width="15.5703125" bestFit="1" customWidth="1"/>
    <col min="4" max="4" width="11" bestFit="1" customWidth="1"/>
    <col min="5" max="5" width="13.5703125" bestFit="1" customWidth="1"/>
    <col min="6" max="6" width="19.140625" bestFit="1" customWidth="1"/>
  </cols>
  <sheetData>
    <row r="1" spans="1:6" ht="18.75" x14ac:dyDescent="0.3">
      <c r="A1" s="9" t="s">
        <v>3</v>
      </c>
      <c r="B1" s="9" t="s">
        <v>4</v>
      </c>
      <c r="C1" s="9" t="s">
        <v>21</v>
      </c>
      <c r="D1" s="9" t="s">
        <v>22</v>
      </c>
      <c r="E1" s="9" t="s">
        <v>1</v>
      </c>
      <c r="F1" s="9" t="s">
        <v>2</v>
      </c>
    </row>
    <row r="2" spans="1:6" x14ac:dyDescent="0.25">
      <c r="A2" t="str">
        <f>'Event Budget'!A2</f>
        <v>Venue Rental</v>
      </c>
      <c r="B2">
        <f>'Event Budget'!B2</f>
        <v>80000</v>
      </c>
      <c r="C2">
        <f>'Event Budget'!C2</f>
        <v>92000</v>
      </c>
      <c r="D2">
        <f>'Event Budget'!D2</f>
        <v>-12000</v>
      </c>
      <c r="E2" s="11">
        <f>'Event Budget'!E2</f>
        <v>-0.15</v>
      </c>
      <c r="F2" t="str">
        <f>'Event Budget'!F2</f>
        <v>Mildly Overspent</v>
      </c>
    </row>
    <row r="3" spans="1:6" x14ac:dyDescent="0.25">
      <c r="A3" t="str">
        <f>'Event Budget'!A3</f>
        <v>Décor &amp; Setup</v>
      </c>
      <c r="B3">
        <f>'Event Budget'!B3</f>
        <v>25000</v>
      </c>
      <c r="C3">
        <f>'Event Budget'!C3</f>
        <v>22000</v>
      </c>
      <c r="D3">
        <f>'Event Budget'!D3</f>
        <v>3000</v>
      </c>
      <c r="E3" s="11">
        <f>'Event Budget'!E3</f>
        <v>0.12</v>
      </c>
      <c r="F3" t="str">
        <f>'Event Budget'!F3</f>
        <v>On Track</v>
      </c>
    </row>
    <row r="4" spans="1:6" x14ac:dyDescent="0.25">
      <c r="A4" t="str">
        <f>'Event Budget'!A4</f>
        <v>Catering</v>
      </c>
      <c r="B4">
        <f>'Event Budget'!B4</f>
        <v>60000</v>
      </c>
      <c r="C4">
        <f>'Event Budget'!C4</f>
        <v>58000</v>
      </c>
      <c r="D4">
        <f>'Event Budget'!D4</f>
        <v>2000</v>
      </c>
      <c r="E4" s="11">
        <f>'Event Budget'!E4</f>
        <v>3.3333333333333333E-2</v>
      </c>
      <c r="F4" t="str">
        <f>'Event Budget'!F4</f>
        <v>On Track</v>
      </c>
    </row>
    <row r="5" spans="1:6" x14ac:dyDescent="0.25">
      <c r="A5" t="str">
        <f>'Event Budget'!A5</f>
        <v>Beverages</v>
      </c>
      <c r="B5">
        <f>'Event Budget'!B5</f>
        <v>15000</v>
      </c>
      <c r="C5">
        <f>'Event Budget'!C5</f>
        <v>19000</v>
      </c>
      <c r="D5">
        <f>'Event Budget'!D5</f>
        <v>-4000</v>
      </c>
      <c r="E5" s="11">
        <f>'Event Budget'!E5</f>
        <v>-0.26666666666666666</v>
      </c>
      <c r="F5" t="str">
        <f>'Event Budget'!F5</f>
        <v>Badly Overspent</v>
      </c>
    </row>
    <row r="6" spans="1:6" x14ac:dyDescent="0.25">
      <c r="A6" t="str">
        <f>'Event Budget'!A6</f>
        <v>Sound &amp; Lighting</v>
      </c>
      <c r="B6">
        <f>'Event Budget'!B6</f>
        <v>30000</v>
      </c>
      <c r="C6">
        <f>'Event Budget'!C6</f>
        <v>35000</v>
      </c>
      <c r="D6">
        <f>'Event Budget'!D6</f>
        <v>-5000</v>
      </c>
      <c r="E6" s="11">
        <f>'Event Budget'!E6</f>
        <v>-0.16666666666666666</v>
      </c>
      <c r="F6" t="str">
        <f>'Event Budget'!F6</f>
        <v>Badly Overspent</v>
      </c>
    </row>
    <row r="7" spans="1:6" x14ac:dyDescent="0.25">
      <c r="A7" t="str">
        <f>'Event Budget'!A7</f>
        <v>Photography</v>
      </c>
      <c r="B7">
        <f>'Event Budget'!B7</f>
        <v>20000</v>
      </c>
      <c r="C7">
        <f>'Event Budget'!C7</f>
        <v>20000</v>
      </c>
      <c r="D7">
        <f>'Event Budget'!D7</f>
        <v>0</v>
      </c>
      <c r="E7" s="11">
        <f>'Event Budget'!E7</f>
        <v>0</v>
      </c>
      <c r="F7" t="str">
        <f>'Event Budget'!F7</f>
        <v>On Track</v>
      </c>
    </row>
    <row r="8" spans="1:6" x14ac:dyDescent="0.25">
      <c r="A8" t="str">
        <f>'Event Budget'!A8</f>
        <v>Event Staff</v>
      </c>
      <c r="B8">
        <f>'Event Budget'!B8</f>
        <v>18000</v>
      </c>
      <c r="C8">
        <f>'Event Budget'!C8</f>
        <v>24000</v>
      </c>
      <c r="D8">
        <f>'Event Budget'!D8</f>
        <v>-6000</v>
      </c>
      <c r="E8" s="11">
        <f>'Event Budget'!E8</f>
        <v>-0.33333333333333331</v>
      </c>
      <c r="F8" t="str">
        <f>'Event Budget'!F8</f>
        <v>Badly Overspent</v>
      </c>
    </row>
    <row r="9" spans="1:6" x14ac:dyDescent="0.25">
      <c r="A9" t="str">
        <f>'Event Budget'!A9</f>
        <v>Security</v>
      </c>
      <c r="B9">
        <f>'Event Budget'!B9</f>
        <v>10000</v>
      </c>
      <c r="C9">
        <f>'Event Budget'!C9</f>
        <v>9000</v>
      </c>
      <c r="D9">
        <f>'Event Budget'!D9</f>
        <v>1000</v>
      </c>
      <c r="E9" s="11">
        <f>'Event Budget'!E9</f>
        <v>0.1</v>
      </c>
      <c r="F9" t="str">
        <f>'Event Budget'!F9</f>
        <v>On Track</v>
      </c>
    </row>
    <row r="10" spans="1:6" x14ac:dyDescent="0.25">
      <c r="A10" t="str">
        <f>'Event Budget'!A10</f>
        <v>Digital Promotion</v>
      </c>
      <c r="B10">
        <f>'Event Budget'!B10</f>
        <v>12000</v>
      </c>
      <c r="C10">
        <f>'Event Budget'!C10</f>
        <v>8000</v>
      </c>
      <c r="D10">
        <f>'Event Budget'!D10</f>
        <v>4000</v>
      </c>
      <c r="E10" s="11">
        <f>'Event Budget'!E10</f>
        <v>0.33333333333333331</v>
      </c>
      <c r="F10" t="str">
        <f>'Event Budget'!F10</f>
        <v>On Track</v>
      </c>
    </row>
    <row r="11" spans="1:6" x14ac:dyDescent="0.25">
      <c r="A11" t="str">
        <f>'Event Budget'!A11</f>
        <v>Print</v>
      </c>
      <c r="B11">
        <f>'Event Budget'!B11</f>
        <v>5000</v>
      </c>
      <c r="C11">
        <f>'Event Budget'!C11</f>
        <v>5500</v>
      </c>
      <c r="D11">
        <f>'Event Budget'!D11</f>
        <v>-500</v>
      </c>
      <c r="E11" s="11">
        <f>'Event Budget'!E11</f>
        <v>-0.1</v>
      </c>
      <c r="F11" t="str">
        <f>'Event Budget'!F11</f>
        <v>Mildly Overspent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1C91-D79A-41F3-A54D-6A45483E60D0}">
  <dimension ref="A1:L31"/>
  <sheetViews>
    <sheetView showGridLines="0" tabSelected="1" workbookViewId="0">
      <selection activeCell="D18" sqref="D18"/>
    </sheetView>
  </sheetViews>
  <sheetFormatPr defaultRowHeight="15" x14ac:dyDescent="0.25"/>
  <cols>
    <col min="1" max="1" width="3.5703125" customWidth="1"/>
    <col min="2" max="2" width="26" customWidth="1"/>
    <col min="3" max="5" width="11.28515625" customWidth="1"/>
    <col min="6" max="6" width="12.85546875" customWidth="1"/>
    <col min="9" max="9" width="8.85546875" customWidth="1"/>
    <col min="10" max="10" width="7" customWidth="1"/>
    <col min="11" max="11" width="10.7109375" customWidth="1"/>
    <col min="12" max="12" width="9.42578125" customWidth="1"/>
    <col min="13" max="13" width="6.7109375" customWidth="1"/>
  </cols>
  <sheetData>
    <row r="1" spans="1:12" ht="18.75" x14ac:dyDescent="0.3">
      <c r="A1" s="13"/>
      <c r="B1" s="13"/>
      <c r="C1" s="13"/>
      <c r="D1" s="13"/>
      <c r="E1" s="13"/>
      <c r="F1" s="13"/>
      <c r="G1" s="13"/>
      <c r="H1" s="13"/>
      <c r="I1" s="13"/>
      <c r="J1" s="13"/>
    </row>
    <row r="4" spans="1:12" ht="15" customHeight="1" x14ac:dyDescent="0.4">
      <c r="B4" s="20">
        <f>COUNTA('Exception Report'!A2:A11)</f>
        <v>10</v>
      </c>
      <c r="C4" s="14"/>
      <c r="D4" s="20">
        <f>COUNTIF('Exception Report'!F2:F11,"Badly Overspent")</f>
        <v>3</v>
      </c>
      <c r="E4" s="20"/>
      <c r="F4" s="14"/>
      <c r="G4" s="21">
        <f>SUM('Exception Report'!D2:D11)</f>
        <v>-17500</v>
      </c>
      <c r="H4" s="21"/>
      <c r="J4" s="16"/>
      <c r="K4" s="17"/>
      <c r="L4" s="15"/>
    </row>
    <row r="5" spans="1:12" ht="15" customHeight="1" x14ac:dyDescent="0.4">
      <c r="A5" s="14"/>
      <c r="B5" s="20"/>
      <c r="C5" s="14"/>
      <c r="D5" s="20"/>
      <c r="E5" s="20"/>
      <c r="F5" s="14"/>
      <c r="G5" s="21"/>
      <c r="H5" s="21"/>
      <c r="I5" s="17"/>
      <c r="J5" s="17"/>
      <c r="K5" s="17"/>
      <c r="L5" s="15"/>
    </row>
    <row r="6" spans="1:12" x14ac:dyDescent="0.25">
      <c r="L6" s="16"/>
    </row>
    <row r="8" spans="1:12" x14ac:dyDescent="0.25">
      <c r="B8" s="19" t="s">
        <v>24</v>
      </c>
      <c r="C8" s="8" t="s">
        <v>25</v>
      </c>
      <c r="D8" s="8" t="s">
        <v>1</v>
      </c>
    </row>
    <row r="9" spans="1:12" x14ac:dyDescent="0.25">
      <c r="B9" s="12" t="str">
        <f>'Exception Report'!A5</f>
        <v>Beverages</v>
      </c>
      <c r="C9">
        <f>'Exception Report'!D5</f>
        <v>-4000</v>
      </c>
      <c r="D9" s="18">
        <f>'Exception Report'!E5</f>
        <v>-0.26666666666666666</v>
      </c>
    </row>
    <row r="10" spans="1:12" x14ac:dyDescent="0.25">
      <c r="B10" s="12" t="str">
        <f>'Exception Report'!A6</f>
        <v>Sound &amp; Lighting</v>
      </c>
      <c r="C10">
        <f>'Exception Report'!D6</f>
        <v>-5000</v>
      </c>
      <c r="D10" s="18">
        <f>'Exception Report'!E6</f>
        <v>-0.16666666666666666</v>
      </c>
    </row>
    <row r="11" spans="1:12" x14ac:dyDescent="0.25">
      <c r="B11" s="12" t="str">
        <f>'Exception Report'!A8</f>
        <v>Event Staff</v>
      </c>
      <c r="C11">
        <f>'Exception Report'!D8</f>
        <v>-6000</v>
      </c>
      <c r="D11" s="18">
        <f>'Exception Report'!E8</f>
        <v>-0.33333333333333331</v>
      </c>
    </row>
    <row r="14" spans="1:12" x14ac:dyDescent="0.25">
      <c r="B14" s="22"/>
      <c r="C14" s="23"/>
      <c r="D14" s="24"/>
    </row>
    <row r="15" spans="1:12" x14ac:dyDescent="0.25">
      <c r="B15" s="25"/>
      <c r="C15" s="26"/>
      <c r="D15" s="27"/>
    </row>
    <row r="16" spans="1:12" x14ac:dyDescent="0.25">
      <c r="B16" s="25"/>
      <c r="C16" s="26"/>
      <c r="D16" s="27"/>
    </row>
    <row r="17" spans="2:4" x14ac:dyDescent="0.25">
      <c r="B17" s="25"/>
      <c r="C17" s="26"/>
      <c r="D17" s="27"/>
    </row>
    <row r="18" spans="2:4" x14ac:dyDescent="0.25">
      <c r="B18" s="25"/>
      <c r="C18" s="26"/>
      <c r="D18" s="27"/>
    </row>
    <row r="19" spans="2:4" x14ac:dyDescent="0.25">
      <c r="B19" s="25"/>
      <c r="C19" s="26"/>
      <c r="D19" s="27"/>
    </row>
    <row r="20" spans="2:4" x14ac:dyDescent="0.25">
      <c r="B20" s="25"/>
      <c r="C20" s="26"/>
      <c r="D20" s="27"/>
    </row>
    <row r="21" spans="2:4" x14ac:dyDescent="0.25">
      <c r="B21" s="25"/>
      <c r="C21" s="26"/>
      <c r="D21" s="27"/>
    </row>
    <row r="22" spans="2:4" x14ac:dyDescent="0.25">
      <c r="B22" s="25"/>
      <c r="C22" s="26"/>
      <c r="D22" s="27"/>
    </row>
    <row r="23" spans="2:4" x14ac:dyDescent="0.25">
      <c r="B23" s="25"/>
      <c r="C23" s="26"/>
      <c r="D23" s="27"/>
    </row>
    <row r="24" spans="2:4" x14ac:dyDescent="0.25">
      <c r="B24" s="25"/>
      <c r="C24" s="26"/>
      <c r="D24" s="27"/>
    </row>
    <row r="25" spans="2:4" x14ac:dyDescent="0.25">
      <c r="B25" s="25"/>
      <c r="C25" s="26"/>
      <c r="D25" s="27"/>
    </row>
    <row r="26" spans="2:4" x14ac:dyDescent="0.25">
      <c r="B26" s="25"/>
      <c r="C26" s="26"/>
      <c r="D26" s="27"/>
    </row>
    <row r="27" spans="2:4" x14ac:dyDescent="0.25">
      <c r="B27" s="25"/>
      <c r="C27" s="26"/>
      <c r="D27" s="27"/>
    </row>
    <row r="28" spans="2:4" x14ac:dyDescent="0.25">
      <c r="B28" s="25"/>
      <c r="C28" s="26"/>
      <c r="D28" s="27"/>
    </row>
    <row r="29" spans="2:4" x14ac:dyDescent="0.25">
      <c r="B29" s="25"/>
      <c r="C29" s="26"/>
      <c r="D29" s="27"/>
    </row>
    <row r="30" spans="2:4" x14ac:dyDescent="0.25">
      <c r="B30" s="25"/>
      <c r="C30" s="26"/>
      <c r="D30" s="27"/>
    </row>
    <row r="31" spans="2:4" x14ac:dyDescent="0.25">
      <c r="B31" s="28"/>
      <c r="C31" s="29"/>
      <c r="D31" s="30"/>
    </row>
  </sheetData>
  <mergeCells count="6">
    <mergeCell ref="D4:E5"/>
    <mergeCell ref="G4:H5"/>
    <mergeCell ref="B4:B5"/>
    <mergeCell ref="A1:C1"/>
    <mergeCell ref="D1:F1"/>
    <mergeCell ref="G1:J1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</vt:lpstr>
      <vt:lpstr>Event Budget</vt:lpstr>
      <vt:lpstr>Exception Report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Abbas</dc:creator>
  <cp:lastModifiedBy>Amaan Abbas</cp:lastModifiedBy>
  <dcterms:created xsi:type="dcterms:W3CDTF">2026-07-08T08:12:48Z</dcterms:created>
  <dcterms:modified xsi:type="dcterms:W3CDTF">2026-07-08T10:12:23Z</dcterms:modified>
</cp:coreProperties>
</file>